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07ff7c42f1ac09/Documents/StrikeGroup/"/>
    </mc:Choice>
  </mc:AlternateContent>
  <xr:revisionPtr revIDLastSave="529" documentId="8_{31F5D545-489A-4D9D-A788-E698E65EC1C7}" xr6:coauthVersionLast="47" xr6:coauthVersionMax="47" xr10:uidLastSave="{96AA0554-F8DA-415A-A6C6-EB71AFCC8194}"/>
  <bookViews>
    <workbookView xWindow="-28920" yWindow="6660" windowWidth="29040" windowHeight="15720" activeTab="1" xr2:uid="{D07AAA6D-CAC8-404A-8988-B3ED14E41B73}"/>
  </bookViews>
  <sheets>
    <sheet name="Equipment Info" sheetId="2" r:id="rId1"/>
    <sheet name="Service Activity" sheetId="1" r:id="rId2"/>
    <sheet name="Codes" sheetId="3" r:id="rId3"/>
    <sheet name="Parts &amp; Supplies Inv." sheetId="4" r:id="rId4"/>
  </sheets>
  <definedNames>
    <definedName name="_xlnm._FilterDatabase" localSheetId="0" hidden="1">'Equipment Info'!$A$1:$L$51</definedName>
    <definedName name="_xlnm._FilterDatabase" localSheetId="1" hidden="1">'Service Activity'!$A$1:$O$101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4" l="1"/>
  <c r="G15" i="4" s="1"/>
  <c r="I14" i="4"/>
  <c r="G14" i="4" s="1"/>
  <c r="I13" i="4"/>
  <c r="G13" i="4" s="1"/>
  <c r="I12" i="4"/>
  <c r="G12" i="4" s="1"/>
  <c r="I11" i="4"/>
  <c r="G11" i="4" s="1"/>
  <c r="I10" i="4"/>
  <c r="G10" i="4" s="1"/>
  <c r="I9" i="4"/>
  <c r="G9" i="4" s="1"/>
  <c r="I8" i="4"/>
  <c r="G8" i="4" s="1"/>
  <c r="I7" i="4"/>
  <c r="G7" i="4" s="1"/>
  <c r="I6" i="4"/>
  <c r="G6" i="4" s="1"/>
  <c r="I5" i="4"/>
  <c r="G5" i="4" s="1"/>
  <c r="I4" i="4"/>
  <c r="G4" i="4" s="1"/>
  <c r="I3" i="4"/>
  <c r="G3" i="4" s="1"/>
  <c r="I2" i="4"/>
  <c r="G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Barnes, Jeremy</author>
  </authors>
  <commentList>
    <comment ref="E1" authorId="0" shapeId="0" xr:uid="{7986B84A-DF06-450C-8EF5-C5CBAC58BABF}">
      <text>
        <r>
          <rPr>
            <b/>
            <sz val="9"/>
            <color rgb="FF000000"/>
            <rFont val="Tahoma"/>
            <family val="2"/>
          </rPr>
          <t>Barnes, Jeremy: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Use  Descriptions from the Svc Codes Tab</t>
        </r>
      </text>
    </comment>
    <comment ref="H1" authorId="0" shapeId="0" xr:uid="{BE931CF4-5F8B-4F06-B6C2-90DC2B4D17EA}">
      <text>
        <r>
          <rPr>
            <b/>
            <sz val="9"/>
            <color rgb="FF000000"/>
            <rFont val="Tahoma"/>
            <family val="2"/>
          </rPr>
          <t>Barnes, Jeremy: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Keep the remedial action description brief. 
</t>
        </r>
        <r>
          <rPr>
            <sz val="9"/>
            <color rgb="FF000000"/>
            <rFont val="Tahoma"/>
            <family val="2"/>
          </rPr>
          <t>Try to keep to 6 words or less.</t>
        </r>
        <r>
          <rPr>
            <b/>
            <sz val="9"/>
            <color rgb="FF000000"/>
            <rFont val="Tahoma"/>
            <family val="2"/>
          </rPr>
          <t xml:space="preserve"> 
</t>
        </r>
        <r>
          <rPr>
            <b/>
            <sz val="9"/>
            <color rgb="FF000000"/>
            <rFont val="Tahoma"/>
            <family val="2"/>
          </rPr>
          <t>Use the SERVICE LOG  column for detailed  service notes.</t>
        </r>
      </text>
    </comment>
    <comment ref="I1" authorId="0" shapeId="0" xr:uid="{2516E70E-15CD-4474-8328-5D493E02C433}">
      <text>
        <r>
          <rPr>
            <b/>
            <sz val="9"/>
            <color rgb="FF000000"/>
            <rFont val="Tahoma"/>
            <family val="2"/>
          </rPr>
          <t>Barnes, Jeremy: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Quanity of part used.</t>
        </r>
      </text>
    </comment>
    <comment ref="J1" authorId="0" shapeId="0" xr:uid="{C8A915F0-8FFF-43AA-8282-C2B9BE0BE01F}">
      <text>
        <r>
          <rPr>
            <b/>
            <sz val="9"/>
            <color rgb="FF000000"/>
            <rFont val="Tahoma"/>
            <family val="2"/>
          </rPr>
          <t>Barnes, Jeremy: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Reference the part number used in this column.</t>
        </r>
        <r>
          <rPr>
            <b/>
            <sz val="9"/>
            <color rgb="FF000000"/>
            <rFont val="Tahoma"/>
            <family val="2"/>
          </rPr>
          <t xml:space="preserve"> If multiple parts are used enter them into separate fields </t>
        </r>
      </text>
    </comment>
  </commentList>
</comments>
</file>

<file path=xl/sharedStrings.xml><?xml version="1.0" encoding="utf-8"?>
<sst xmlns="http://schemas.openxmlformats.org/spreadsheetml/2006/main" count="1218" uniqueCount="508">
  <si>
    <t>Area</t>
  </si>
  <si>
    <t>Customer</t>
  </si>
  <si>
    <t>Meter</t>
  </si>
  <si>
    <t>Description of Malfunction</t>
  </si>
  <si>
    <t>Arrival Date</t>
  </si>
  <si>
    <t>Remedial Action Performed</t>
  </si>
  <si>
    <t>Qty</t>
  </si>
  <si>
    <t>Part Replaced</t>
  </si>
  <si>
    <t>Departure Date</t>
  </si>
  <si>
    <t>Serial 
Number</t>
  </si>
  <si>
    <t>BLDG</t>
  </si>
  <si>
    <t>Room</t>
  </si>
  <si>
    <t>Serial No.</t>
  </si>
  <si>
    <t>Model</t>
  </si>
  <si>
    <t>Install
Date</t>
  </si>
  <si>
    <t>Contact</t>
  </si>
  <si>
    <t>Contact Phone</t>
  </si>
  <si>
    <t>IT Support</t>
  </si>
  <si>
    <t>IT Phone</t>
  </si>
  <si>
    <t>Notes/Comments</t>
  </si>
  <si>
    <t>Arrival
Time</t>
  </si>
  <si>
    <t>Depature
Time</t>
  </si>
  <si>
    <t>Call
Duration</t>
  </si>
  <si>
    <t>Technician
Last Name</t>
  </si>
  <si>
    <t xml:space="preserve"> Service Log / Comments</t>
  </si>
  <si>
    <t>Part Number</t>
  </si>
  <si>
    <t>Part Location</t>
  </si>
  <si>
    <t xml:space="preserve"> Model</t>
  </si>
  <si>
    <t>Part Description</t>
  </si>
  <si>
    <t>Quarterly Inventory Verification Date</t>
  </si>
  <si>
    <t>Days Since Last Verification</t>
  </si>
  <si>
    <t>Notes</t>
  </si>
  <si>
    <t>Today's Date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</si>
  <si>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</si>
  <si>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</si>
  <si>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</si>
  <si>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</si>
  <si>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</si>
  <si>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</si>
  <si>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</si>
  <si>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</si>
  <si>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</si>
  <si>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</si>
  <si>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</si>
  <si>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</si>
  <si>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</si>
  <si>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</si>
  <si>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</si>
  <si>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</si>
  <si>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</si>
  <si>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</si>
  <si>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</si>
  <si>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</si>
  <si>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</si>
  <si>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</si>
  <si>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</si>
  <si>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</si>
  <si>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</si>
  <si>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</si>
  <si>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</si>
  <si>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</si>
  <si>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</si>
  <si>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</si>
  <si>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</si>
  <si>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</si>
  <si>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</si>
  <si>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</si>
  <si>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</si>
  <si>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</si>
  <si>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</si>
  <si>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</si>
  <si>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</si>
  <si>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</si>
  <si>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</si>
  <si>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</si>
  <si>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</si>
  <si>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</si>
  <si>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</si>
  <si>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</si>
  <si>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</si>
  <si>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</si>
  <si>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</si>
  <si>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</si>
  <si>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Olivia Carter</t>
  </si>
  <si>
    <t>Mason Hale</t>
  </si>
  <si>
    <t>Priya Desai</t>
  </si>
  <si>
    <t>Ethan Romero</t>
  </si>
  <si>
    <t>Lila Morrison</t>
  </si>
  <si>
    <t>Gabriel Knight</t>
  </si>
  <si>
    <t>Naomi Schultz</t>
  </si>
  <si>
    <t>Felix Navarro</t>
  </si>
  <si>
    <t>Harper Quinn</t>
  </si>
  <si>
    <t>Luca Moretti</t>
  </si>
  <si>
    <t>Rowan Pierce</t>
  </si>
  <si>
    <t>Mei Sun</t>
  </si>
  <si>
    <t>Damien Walsh</t>
  </si>
  <si>
    <t>Aria Fletcher</t>
  </si>
  <si>
    <t>Tobias Klein</t>
  </si>
  <si>
    <t>Ivy Chandler</t>
  </si>
  <si>
    <t>Callum Drake</t>
  </si>
  <si>
    <t>Zahra Karim</t>
  </si>
  <si>
    <t>Elijah Foster</t>
  </si>
  <si>
    <t>Sienna Brooks</t>
  </si>
  <si>
    <t>Hiro Tanaka</t>
  </si>
  <si>
    <t>Camila Duarte</t>
  </si>
  <si>
    <t>Owen Gallagher</t>
  </si>
  <si>
    <t>Freya Lindberg</t>
  </si>
  <si>
    <t>Mateo Alvarez</t>
  </si>
  <si>
    <t>Jade Holloway</t>
  </si>
  <si>
    <t>Amir Haddad</t>
  </si>
  <si>
    <t>Norah Whitfield</t>
  </si>
  <si>
    <t>Jasper Rowe</t>
  </si>
  <si>
    <t>Serena Delgado</t>
  </si>
  <si>
    <t>Quinn Ashford</t>
  </si>
  <si>
    <t>Nikolai Petrov</t>
  </si>
  <si>
    <t>Clara Voss</t>
  </si>
  <si>
    <t>Andre Silva</t>
  </si>
  <si>
    <t>Talia Benton</t>
  </si>
  <si>
    <t>Viktor Ilyin</t>
  </si>
  <si>
    <t>Mira Kapoor</t>
  </si>
  <si>
    <t>Declan Boyd</t>
  </si>
  <si>
    <t>Elise Marchand</t>
  </si>
  <si>
    <t>Kieran Holt</t>
  </si>
  <si>
    <t>Kyra Donovan</t>
  </si>
  <si>
    <t>Asher Blake</t>
  </si>
  <si>
    <t>Leonora Ruiz</t>
  </si>
  <si>
    <t>Milo Beck</t>
  </si>
  <si>
    <t>Hana Okada</t>
  </si>
  <si>
    <t>Silas Thornton</t>
  </si>
  <si>
    <t>Vivian Keane</t>
  </si>
  <si>
    <t>Dante Marchetti</t>
  </si>
  <si>
    <t>Rina Takahashi</t>
  </si>
  <si>
    <t>Cyrus Kemp</t>
  </si>
  <si>
    <t>Ridgeview Tower</t>
  </si>
  <si>
    <t>Hawthorne Plaza</t>
  </si>
  <si>
    <t>Silverstone Center</t>
  </si>
  <si>
    <t>Maplewood Offices</t>
  </si>
  <si>
    <t>Grandcrest Building</t>
  </si>
  <si>
    <t>Northbridge Hall</t>
  </si>
  <si>
    <t>Evergreen Court</t>
  </si>
  <si>
    <t>Harborview Complex</t>
  </si>
  <si>
    <t>Lakeside Pavilion</t>
  </si>
  <si>
    <t>Westbrook Terrace</t>
  </si>
  <si>
    <t>Summit Ridge House</t>
  </si>
  <si>
    <t>Cedarpoint Tower</t>
  </si>
  <si>
    <t>Aspen Gate Center</t>
  </si>
  <si>
    <t>Old Mill Annex</t>
  </si>
  <si>
    <t>Riverstone Hall</t>
  </si>
  <si>
    <t>Brighton Exchange</t>
  </si>
  <si>
    <t>Oakridge Square</t>
  </si>
  <si>
    <t>Highland Commons</t>
  </si>
  <si>
    <t>Cypress Bay Building</t>
  </si>
  <si>
    <t>Wellington House</t>
  </si>
  <si>
    <t>Parkline Tower</t>
  </si>
  <si>
    <t>Redwood Atrium</t>
  </si>
  <si>
    <t>Bluewater Annex</t>
  </si>
  <si>
    <t>The Meridian</t>
  </si>
  <si>
    <t>Stonegate Center</t>
  </si>
  <si>
    <t>Vantage House</t>
  </si>
  <si>
    <t>Ironwood Plaza</t>
  </si>
  <si>
    <t>The Overlook</t>
  </si>
  <si>
    <t>Harper Square</t>
  </si>
  <si>
    <t>The Gallery Building</t>
  </si>
  <si>
    <t>Sycamore Court</t>
  </si>
  <si>
    <t>Golden Crest Center</t>
  </si>
  <si>
    <t>Pinecrest Hall</t>
  </si>
  <si>
    <t>Mariner House</t>
  </si>
  <si>
    <t>Belmont Offices</t>
  </si>
  <si>
    <t>Copperfield Tower</t>
  </si>
  <si>
    <t>Skyline Harbor Building</t>
  </si>
  <si>
    <t>The Arcadia</t>
  </si>
  <si>
    <t>Frontier Plaza</t>
  </si>
  <si>
    <t>Avalon Commons</t>
  </si>
  <si>
    <t>The Observatory</t>
  </si>
  <si>
    <t>The Station House</t>
  </si>
  <si>
    <t>Riverside Arcade</t>
  </si>
  <si>
    <t>The Lantern Building</t>
  </si>
  <si>
    <t>Helios Tower</t>
  </si>
  <si>
    <t>Crownpoint Center</t>
  </si>
  <si>
    <t>Sableview House</t>
  </si>
  <si>
    <t>The Atrium Court</t>
  </si>
  <si>
    <t>Millbrook Hall</t>
  </si>
  <si>
    <t>The Foundry Building</t>
  </si>
  <si>
    <t>Conference Room</t>
  </si>
  <si>
    <t>IT Breakroom</t>
  </si>
  <si>
    <t>Room 12A</t>
  </si>
  <si>
    <t>Janitor’s Closet</t>
  </si>
  <si>
    <t>East Wing Office</t>
  </si>
  <si>
    <t>Storage Room B</t>
  </si>
  <si>
    <t>Mechanical Room</t>
  </si>
  <si>
    <t>Server Room 3</t>
  </si>
  <si>
    <t>Reception Area</t>
  </si>
  <si>
    <t>South Lounge</t>
  </si>
  <si>
    <t>Training Room</t>
  </si>
  <si>
    <t>Copy Room</t>
  </si>
  <si>
    <t>Maintenance Bay</t>
  </si>
  <si>
    <t>Room 204</t>
  </si>
  <si>
    <t>Executive Suite</t>
  </si>
  <si>
    <t>Engineering Lab</t>
  </si>
  <si>
    <t>Archives Room</t>
  </si>
  <si>
    <t>Kitchenette</t>
  </si>
  <si>
    <t>Security Office</t>
  </si>
  <si>
    <t>Operations Center</t>
  </si>
  <si>
    <t>Media Room</t>
  </si>
  <si>
    <t>Room 7C</t>
  </si>
  <si>
    <t>Utility Closet</t>
  </si>
  <si>
    <t>Library Nook</t>
  </si>
  <si>
    <t>Breakout Room</t>
  </si>
  <si>
    <t>North Hall Office</t>
  </si>
  <si>
    <t>Design Studio</t>
  </si>
  <si>
    <t>Classroom 5</t>
  </si>
  <si>
    <t>Mailroom</t>
  </si>
  <si>
    <t>Room 18B</t>
  </si>
  <si>
    <t>IT Support Hub</t>
  </si>
  <si>
    <t>Facilities Workshop</t>
  </si>
  <si>
    <t>Testing Chamber</t>
  </si>
  <si>
    <t>Room 301</t>
  </si>
  <si>
    <t>Supply Depot</t>
  </si>
  <si>
    <t>Telecom Closet</t>
  </si>
  <si>
    <t>Control Booth</t>
  </si>
  <si>
    <t>Waiting Area</t>
  </si>
  <si>
    <t>Project Lab</t>
  </si>
  <si>
    <t>Studio A</t>
  </si>
  <si>
    <t>Room 9D</t>
  </si>
  <si>
    <t>Data Processing Room</t>
  </si>
  <si>
    <t>Green Room</t>
  </si>
  <si>
    <t>Packaging Area</t>
  </si>
  <si>
    <t>Quiet Room</t>
  </si>
  <si>
    <t>Operations Breakroom</t>
  </si>
  <si>
    <t>Analysis Room</t>
  </si>
  <si>
    <t>Room 22F</t>
  </si>
  <si>
    <t>Custodian’s Room</t>
  </si>
  <si>
    <t>Network Operations Center</t>
  </si>
  <si>
    <t>5RBG53289</t>
  </si>
  <si>
    <t>1BRG03476</t>
  </si>
  <si>
    <t>3CFR29081</t>
  </si>
  <si>
    <t>9FDN73942</t>
  </si>
  <si>
    <t>6CTK23493</t>
  </si>
  <si>
    <t>5RBG53290</t>
  </si>
  <si>
    <t>5RBG53291</t>
  </si>
  <si>
    <t>5RBG53292</t>
  </si>
  <si>
    <t>5RBG53293</t>
  </si>
  <si>
    <t>5RBG53294</t>
  </si>
  <si>
    <t>5RBG53295</t>
  </si>
  <si>
    <t>5RBG53296</t>
  </si>
  <si>
    <t>5RBG53297</t>
  </si>
  <si>
    <t>5RBG53298</t>
  </si>
  <si>
    <t>1BRG03477</t>
  </si>
  <si>
    <t>1BRG03478</t>
  </si>
  <si>
    <t>1BRG03479</t>
  </si>
  <si>
    <t>1BRG03480</t>
  </si>
  <si>
    <t>1BRG03481</t>
  </si>
  <si>
    <t>1BRG03482</t>
  </si>
  <si>
    <t>1BRG03483</t>
  </si>
  <si>
    <t>1BRG03484</t>
  </si>
  <si>
    <t>1BRG03485</t>
  </si>
  <si>
    <t>3CFR29082</t>
  </si>
  <si>
    <t>3CFR29083</t>
  </si>
  <si>
    <t>3CFR29084</t>
  </si>
  <si>
    <t>3CFR29085</t>
  </si>
  <si>
    <t>3CFR29086</t>
  </si>
  <si>
    <t>3CFR29087</t>
  </si>
  <si>
    <t>3CFR29088</t>
  </si>
  <si>
    <t>3CFR29089</t>
  </si>
  <si>
    <t>3CFR29090</t>
  </si>
  <si>
    <t>9FDN73943</t>
  </si>
  <si>
    <t>9FDN73944</t>
  </si>
  <si>
    <t>9FDN73945</t>
  </si>
  <si>
    <t>9FDN73946</t>
  </si>
  <si>
    <t>9FDN73947</t>
  </si>
  <si>
    <t>9FDN73948</t>
  </si>
  <si>
    <t>9FDN73949</t>
  </si>
  <si>
    <t>9FDN73950</t>
  </si>
  <si>
    <t>9FDN73951</t>
  </si>
  <si>
    <t>6CTK23494</t>
  </si>
  <si>
    <t>6CTK23495</t>
  </si>
  <si>
    <t>6CTK23496</t>
  </si>
  <si>
    <t>6CTK23497</t>
  </si>
  <si>
    <t>6CTK23498</t>
  </si>
  <si>
    <t>6CTK23499</t>
  </si>
  <si>
    <t>6CTK23500</t>
  </si>
  <si>
    <t>6CTK23501</t>
  </si>
  <si>
    <t>Class-A</t>
  </si>
  <si>
    <t>Class-E</t>
  </si>
  <si>
    <t>Class-C</t>
  </si>
  <si>
    <t>Class-B</t>
  </si>
  <si>
    <t>Class-D</t>
  </si>
  <si>
    <t>Avery Holt</t>
  </si>
  <si>
    <t>Mara Quinn</t>
  </si>
  <si>
    <t>Silas Romero</t>
  </si>
  <si>
    <t>Emiliana Cruz</t>
  </si>
  <si>
    <t>Jaxon Reid</t>
  </si>
  <si>
    <t>Harper Lowell</t>
  </si>
  <si>
    <t>Tobias Marsh</t>
  </si>
  <si>
    <t>Rina Solis</t>
  </si>
  <si>
    <t>Dmitri Orlov</t>
  </si>
  <si>
    <t>Kaia Turner</t>
  </si>
  <si>
    <t>Rowan Ellis</t>
  </si>
  <si>
    <t>Luciana Greer</t>
  </si>
  <si>
    <t>Malik Johnson</t>
  </si>
  <si>
    <t>Evie Hartman</t>
  </si>
  <si>
    <t>Corbin Hayes</t>
  </si>
  <si>
    <t>Zuri Banks</t>
  </si>
  <si>
    <t>Nikolai Strauss</t>
  </si>
  <si>
    <t>Amara Patel</t>
  </si>
  <si>
    <t>Gideon Clarke</t>
  </si>
  <si>
    <t>Elara Benton</t>
  </si>
  <si>
    <t>Santiago Rojas</t>
  </si>
  <si>
    <t>Mae Whitaker</t>
  </si>
  <si>
    <t>Bennett Ford</t>
  </si>
  <si>
    <t>Yara Leone</t>
  </si>
  <si>
    <t>Caden Brooks</t>
  </si>
  <si>
    <t>Fiona Drake</t>
  </si>
  <si>
    <t>Rafael Mendes</t>
  </si>
  <si>
    <t>Talia Frost</t>
  </si>
  <si>
    <t>Jude Morrissey</t>
  </si>
  <si>
    <t>Nina Adler</t>
  </si>
  <si>
    <t>Enzo Duarte</t>
  </si>
  <si>
    <t>Liliane Brooks</t>
  </si>
  <si>
    <t>Oscar Vance</t>
  </si>
  <si>
    <t>Sarai Kingston</t>
  </si>
  <si>
    <t>Milo Arendt</t>
  </si>
  <si>
    <t>Juniper Sloan</t>
  </si>
  <si>
    <t>Kaito Murakami</t>
  </si>
  <si>
    <t>Vera Lang</t>
  </si>
  <si>
    <t>Griffin Tate</t>
  </si>
  <si>
    <t>Anya Skye</t>
  </si>
  <si>
    <t>Dominic Russo</t>
  </si>
  <si>
    <t>Maya Chen</t>
  </si>
  <si>
    <t>Lorenzo Silva</t>
  </si>
  <si>
    <t>Wren McAllister</t>
  </si>
  <si>
    <t>Isidore Hale</t>
  </si>
  <si>
    <t>Petra Klein</t>
  </si>
  <si>
    <t>Cassian Wolfe</t>
  </si>
  <si>
    <t>Nadia Bell</t>
  </si>
  <si>
    <t>Kai Rasmussen</t>
  </si>
  <si>
    <t>Elodie Rivers</t>
  </si>
  <si>
    <t>(402) 555-8941</t>
  </si>
  <si>
    <t>(718) 555-2034</t>
  </si>
  <si>
    <t>(913) 555-1178</t>
  </si>
  <si>
    <t>(650) 555-4420</t>
  </si>
  <si>
    <t>(315) 555-9806</t>
  </si>
  <si>
    <t>(508) 555-7612</t>
  </si>
  <si>
    <t>(219) 555-4308</t>
  </si>
  <si>
    <t>(872) 555-6645</t>
  </si>
  <si>
    <t>(509) 555-1289</t>
  </si>
  <si>
    <t>(303) 555-7720</t>
  </si>
  <si>
    <t>(214) 555-9063</t>
  </si>
  <si>
    <t>(971) 555-4407</t>
  </si>
  <si>
    <t>(414) 555-3890</t>
  </si>
  <si>
    <t>(562) 555-0274</t>
  </si>
  <si>
    <t>(346) 555-6673</t>
  </si>
  <si>
    <t>(702) 555-9042</t>
  </si>
  <si>
    <t>(512) 555-1439</t>
  </si>
  <si>
    <t>(859) 555-2233</t>
  </si>
  <si>
    <t>(907) 555-4938</t>
  </si>
  <si>
    <t>(404) 555-8826</t>
  </si>
  <si>
    <t>(720) 555-3157</t>
  </si>
  <si>
    <t>(917) 555-5021</t>
  </si>
  <si>
    <t>(281) 555-7764</t>
  </si>
  <si>
    <t>(541) 555-9020</t>
  </si>
  <si>
    <t>(336) 555-1184</t>
  </si>
  <si>
    <t>(216) 555-6347</t>
  </si>
  <si>
    <t>(901) 555-4205</t>
  </si>
  <si>
    <t>(671) 555-7532</t>
  </si>
  <si>
    <t>(573) 555-2990</t>
  </si>
  <si>
    <t>(843) 555-6741</t>
  </si>
  <si>
    <t>(684) 555-9398</t>
  </si>
  <si>
    <t>(228) 555-0127</t>
  </si>
  <si>
    <t>(434) 555-8483</t>
  </si>
  <si>
    <t>(979) 555-5602</t>
  </si>
  <si>
    <t>(701) 555-7478</t>
  </si>
  <si>
    <t>(208) 555-1336</t>
  </si>
  <si>
    <t>(940) 555-6215</t>
  </si>
  <si>
    <t>(313) 555-4820</t>
  </si>
  <si>
    <t>(775) 555-9084</t>
  </si>
  <si>
    <t>(828) 555-3701</t>
  </si>
  <si>
    <t>(763) 555-9216</t>
  </si>
  <si>
    <t>(423) 555-7450</t>
  </si>
  <si>
    <t>(605) 555-2894</t>
  </si>
  <si>
    <t>(475) 555-6601</t>
  </si>
  <si>
    <t>(218) 555-1197</t>
  </si>
  <si>
    <t>(678) 555-4320</t>
  </si>
  <si>
    <t>(928) 555-8732</t>
  </si>
  <si>
    <t>(330) 555-5019</t>
  </si>
  <si>
    <t>(979) 555-8540</t>
  </si>
  <si>
    <t>(234) 555-9364</t>
  </si>
  <si>
    <t>BlueNova Technologies</t>
  </si>
  <si>
    <t>QuantumByte Systems</t>
  </si>
  <si>
    <t>IronWave IT Solutions</t>
  </si>
  <si>
    <t>PixelForge Innovations</t>
  </si>
  <si>
    <t>NebulaCore Networks</t>
  </si>
  <si>
    <t>CircuitStream Labs</t>
  </si>
  <si>
    <t>DataHarbor Solutions</t>
  </si>
  <si>
    <t>ApexLogic Computing</t>
  </si>
  <si>
    <t>CloudSync Dynamics</t>
  </si>
  <si>
    <t>CyberSpan Consulting</t>
  </si>
  <si>
    <t>SilverGrid IT Partners</t>
  </si>
  <si>
    <t>NextPhase Digital</t>
  </si>
  <si>
    <t>LumenPeak Technologies</t>
  </si>
  <si>
    <t>VortexLink Systems</t>
  </si>
  <si>
    <t>7QRM48291</t>
  </si>
  <si>
    <t>7QRM48261</t>
  </si>
  <si>
    <t>7QRM48271</t>
  </si>
  <si>
    <t>7QRM48281</t>
  </si>
  <si>
    <t>3LKT10547</t>
  </si>
  <si>
    <t>3LKT10557</t>
  </si>
  <si>
    <t>3LKT10567</t>
  </si>
  <si>
    <t>3LKT10577</t>
  </si>
  <si>
    <t>9WHD77204</t>
  </si>
  <si>
    <t>9WHD77214</t>
  </si>
  <si>
    <t>9WHD77224</t>
  </si>
  <si>
    <t>9WHD77234</t>
  </si>
  <si>
    <t>4BZP61938</t>
  </si>
  <si>
    <t>1TRC88420</t>
  </si>
  <si>
    <t>Warehouse</t>
  </si>
  <si>
    <t>Stock Room 1</t>
  </si>
  <si>
    <t>Supply Center</t>
  </si>
  <si>
    <t>Cyan Toner</t>
  </si>
  <si>
    <t>Yellow Toner</t>
  </si>
  <si>
    <t>Magenta Toner</t>
  </si>
  <si>
    <t>Black Toner</t>
  </si>
  <si>
    <t>PROB = PROBLEM CODES</t>
  </si>
  <si>
    <t>01 - Varying image</t>
  </si>
  <si>
    <t>19 - CQ adjustment</t>
  </si>
  <si>
    <t>39 - Document Damaged</t>
  </si>
  <si>
    <t>60 - Peripherals</t>
  </si>
  <si>
    <t>77 - Abnorm Sound/Vib</t>
  </si>
  <si>
    <t>02 - Dark Image</t>
  </si>
  <si>
    <t>20 - Copy/CRT Displ</t>
  </si>
  <si>
    <t>40 - Disk failure</t>
  </si>
  <si>
    <t>62 - Won't Print</t>
  </si>
  <si>
    <t>78 - Developer Leakage</t>
  </si>
  <si>
    <t>03 - Light Image</t>
  </si>
  <si>
    <t>21 - Scorched Print</t>
  </si>
  <si>
    <t>43 - Oil/Machine Leakage</t>
  </si>
  <si>
    <t>63 - Read/Write Check Error</t>
  </si>
  <si>
    <t>80 - Consumable</t>
  </si>
  <si>
    <t>04 - Deletions</t>
  </si>
  <si>
    <t>23 - Print Qual Doc Scan</t>
  </si>
  <si>
    <t>44 - Improper Config</t>
  </si>
  <si>
    <t>64 - Tape Loop/Vacuum</t>
  </si>
  <si>
    <t>81 - Retraining/Assistance</t>
  </si>
  <si>
    <t>05 - Distorted Image</t>
  </si>
  <si>
    <t>24 - System Lockup</t>
  </si>
  <si>
    <t>47 - Print/Copy Cartridge</t>
  </si>
  <si>
    <t>65 - Disk Can't Locate Track</t>
  </si>
  <si>
    <t>82 - Problem Not Observed</t>
  </si>
  <si>
    <t>06 - Char. Alignment</t>
  </si>
  <si>
    <t>27 - Print Damaged</t>
  </si>
  <si>
    <t>48 - CRU Failure</t>
  </si>
  <si>
    <t>66 - Media Speed</t>
  </si>
  <si>
    <t>85 - Remote Unit Compat</t>
  </si>
  <si>
    <t>07 - Char Add/Drop</t>
  </si>
  <si>
    <t>29 - Incorrect Color</t>
  </si>
  <si>
    <t>49 - ESS Failure</t>
  </si>
  <si>
    <t>67 - False Shutdown</t>
  </si>
  <si>
    <t>86 - Won't Transmit/Receive</t>
  </si>
  <si>
    <t>08 - Skewed Print</t>
  </si>
  <si>
    <t>30 - Paper Handling</t>
  </si>
  <si>
    <t>50 - System Rollover Crash</t>
  </si>
  <si>
    <t>68 - Mouse/Cursor</t>
  </si>
  <si>
    <t>89 - Web Malfunction</t>
  </si>
  <si>
    <t>10 - Data Registration</t>
  </si>
  <si>
    <t>31 - Jams</t>
  </si>
  <si>
    <t>51 - Host Channel</t>
  </si>
  <si>
    <t>69 - Telephone Line</t>
  </si>
  <si>
    <t>90 - Static</t>
  </si>
  <si>
    <t>11 - Background</t>
  </si>
  <si>
    <t>32 - Paper Fire</t>
  </si>
  <si>
    <t>52 - Firmware</t>
  </si>
  <si>
    <t>70 - Unable to Communicate</t>
  </si>
  <si>
    <t>93 - Loose/Broken Hardware</t>
  </si>
  <si>
    <t>12 - Line Streaks</t>
  </si>
  <si>
    <t>33 - Improper Feed</t>
  </si>
  <si>
    <t xml:space="preserve">53 - Software      </t>
  </si>
  <si>
    <t>71 - No/Incorrect Input Voltage</t>
  </si>
  <si>
    <t>95 - Head Alignment</t>
  </si>
  <si>
    <t>13 - Spots</t>
  </si>
  <si>
    <t>34 - No Sample Print</t>
  </si>
  <si>
    <t>54 - Won't Boot Hadware</t>
  </si>
  <si>
    <t>72 - Logic Wrong</t>
  </si>
  <si>
    <t>96 - No Boot Computer</t>
  </si>
  <si>
    <t>14 - Unfused Copy</t>
  </si>
  <si>
    <t>35 - Multi Sheet Feed</t>
  </si>
  <si>
    <t>55 - Memory Failure</t>
  </si>
  <si>
    <t xml:space="preserve">73 - Can't Select Machine Feature         </t>
  </si>
  <si>
    <t>97 - Mechanical Adjustment</t>
  </si>
  <si>
    <t>15 - Border Bands</t>
  </si>
  <si>
    <t>36 - Skewed Feed</t>
  </si>
  <si>
    <t xml:space="preserve">56 - Smoke         </t>
  </si>
  <si>
    <t xml:space="preserve">74 - Control Failure        </t>
  </si>
  <si>
    <t>98 - Electrical Adjustment</t>
  </si>
  <si>
    <t>16 - Mis/Varying Regrist.</t>
  </si>
  <si>
    <t>37 - Improper Stack/Sort</t>
  </si>
  <si>
    <t xml:space="preserve">57 - Welded     </t>
  </si>
  <si>
    <t>75 - Machine Inoperative</t>
  </si>
  <si>
    <t>18 - Broken Part</t>
  </si>
  <si>
    <t>38 - Document Handling</t>
  </si>
  <si>
    <t>58 - Unusual Odor</t>
  </si>
  <si>
    <t>76 - Non paper Fire/Smoke</t>
  </si>
  <si>
    <t>80 - Consumables</t>
  </si>
  <si>
    <t>Installed Toner</t>
  </si>
  <si>
    <t>Performed cleaning.</t>
  </si>
  <si>
    <t>Cleared jam.</t>
  </si>
  <si>
    <t>Firmware update.</t>
  </si>
  <si>
    <t>70 - Unable to communicate</t>
  </si>
  <si>
    <t>Rebooted machine.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</si>
</sst>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mm/dd/yy;@"/>
    <numFmt numFmtId="166" formatCode="h:mm;@"/>
  </numFmts>
  <fonts count="9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1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14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16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4" borderId="1" xfId="0" applyNumberFormat="1" applyFont="1" applyFill="1" applyBorder="1" applyAlignment="1" applyProtection="1">
      <alignment horizontal="center" vertical="center" textRotation="90" wrapText="1"/>
      <protection locked="0"/>
    </xf>
    <xf numFmtId="166" fontId="1" fillId="4" borderId="1" xfId="0" applyNumberFormat="1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20" fontId="0" fillId="0" borderId="0" xfId="0" applyNumberFormat="1"/>
    <xf numFmtId="0" fontId="8" fillId="5" borderId="0" xfId="0" applyFont="1" applyFill="1" applyAlignment="1">
      <alignment horizontal="center"/>
    </xf>
    <xf numFmtId="0" fontId="0" fillId="0" borderId="1" xfId="0" applyBorder="1"/>
    <xf numFmtId="0" fontId="0" fillId="0" borderId="3" xfId="0" applyBorder="1"/>
    <xf numFmtId="164" fontId="1" fillId="5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5" fontId="1" fillId="5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14" fontId="5" fillId="5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8" fillId="6" borderId="1" xfId="0" applyFont="1" applyFill="1" applyBorder="1"/>
    <xf numFmtId="0" fontId="8" fillId="7" borderId="1" xfId="0" applyFont="1" applyFill="1" applyBorder="1"/>
    <xf numFmtId="0" fontId="0" fillId="8" borderId="1" xfId="0" applyFill="1" applyBorder="1"/>
    <xf numFmtId="0" fontId="8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BB29-AB4C-433F-A751-FDD33E2FDBEC}">
  <dimension ref="A1:IA51"/>
  <sheetViews>
    <sheetView workbookViewId="0"/>
  </sheetViews>
  <sheetFormatPr defaultRowHeight="15" x14ac:dyDescent="0.25"/>
  <cols>
    <col min="1" max="1" width="15.7109375" customWidth="1"/>
    <col min="2" max="2" width="16.140625" customWidth="1"/>
    <col min="3" max="3" width="22" customWidth="1"/>
    <col min="4" max="4" width="25.140625" customWidth="1"/>
    <col min="5" max="5" width="12.7109375" customWidth="1"/>
    <col min="8" max="8" width="21" customWidth="1"/>
    <col min="9" max="9" width="16.140625" customWidth="1"/>
    <col min="10" max="10" width="25.7109375" customWidth="1"/>
    <col min="11" max="11" width="19.5703125" customWidth="1"/>
    <col min="12" max="12" width="18" customWidth="1"/>
  </cols>
  <sheetData>
    <row r="1" spans="1:235" s="3" customFormat="1" ht="27" x14ac:dyDescent="0.25">
      <c r="A1" s="19" t="s">
        <v>0</v>
      </c>
      <c r="B1" s="19" t="s">
        <v>1</v>
      </c>
      <c r="C1" s="19" t="s">
        <v>10</v>
      </c>
      <c r="D1" s="19" t="s">
        <v>11</v>
      </c>
      <c r="E1" s="19" t="s">
        <v>12</v>
      </c>
      <c r="F1" s="20" t="s">
        <v>13</v>
      </c>
      <c r="G1" s="21" t="s">
        <v>14</v>
      </c>
      <c r="H1" s="20" t="s">
        <v>15</v>
      </c>
      <c r="I1" s="22" t="s">
        <v>16</v>
      </c>
      <c r="J1" s="20" t="s">
        <v>17</v>
      </c>
      <c r="K1" s="20" t="s">
        <v>18</v>
      </c>
      <c r="L1" s="20" t="s">
        <v>19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</row>
    <row r="2" spans="1:235" x14ac:dyDescent="0.25">
      <c r="A2" t="s">
        <v>33</v>
      </c>
      <c r="B2" t="s">
        <v>83</v>
      </c>
      <c r="C2" t="s">
        <v>133</v>
      </c>
      <c r="D2" t="s">
        <v>183</v>
      </c>
      <c r="E2" t="s">
        <v>233</v>
      </c>
      <c r="F2" t="s">
        <v>282</v>
      </c>
      <c r="G2" s="12">
        <v>45352</v>
      </c>
      <c r="H2" t="s">
        <v>287</v>
      </c>
      <c r="I2" t="s">
        <v>337</v>
      </c>
      <c r="J2" t="s">
        <v>387</v>
      </c>
      <c r="K2" t="s">
        <v>337</v>
      </c>
    </row>
    <row r="3" spans="1:235" x14ac:dyDescent="0.25">
      <c r="A3" t="s">
        <v>34</v>
      </c>
      <c r="B3" t="s">
        <v>84</v>
      </c>
      <c r="C3" t="s">
        <v>134</v>
      </c>
      <c r="D3" t="s">
        <v>184</v>
      </c>
      <c r="E3" t="s">
        <v>238</v>
      </c>
      <c r="F3" t="s">
        <v>282</v>
      </c>
      <c r="G3" s="12">
        <v>45352</v>
      </c>
      <c r="H3" t="s">
        <v>288</v>
      </c>
      <c r="I3" t="s">
        <v>338</v>
      </c>
      <c r="J3" t="s">
        <v>388</v>
      </c>
      <c r="K3" t="s">
        <v>338</v>
      </c>
    </row>
    <row r="4" spans="1:235" x14ac:dyDescent="0.25">
      <c r="A4" t="s">
        <v>35</v>
      </c>
      <c r="B4" t="s">
        <v>85</v>
      </c>
      <c r="C4" t="s">
        <v>135</v>
      </c>
      <c r="D4" t="s">
        <v>185</v>
      </c>
      <c r="E4" t="s">
        <v>239</v>
      </c>
      <c r="F4" t="s">
        <v>282</v>
      </c>
      <c r="G4" s="12">
        <v>45352</v>
      </c>
      <c r="H4" t="s">
        <v>289</v>
      </c>
      <c r="I4" t="s">
        <v>339</v>
      </c>
      <c r="J4" t="s">
        <v>389</v>
      </c>
      <c r="K4" t="s">
        <v>339</v>
      </c>
    </row>
    <row r="5" spans="1:235" x14ac:dyDescent="0.25">
      <c r="A5" t="s">
        <v>36</v>
      </c>
      <c r="B5" t="s">
        <v>86</v>
      </c>
      <c r="C5" t="s">
        <v>136</v>
      </c>
      <c r="D5" t="s">
        <v>186</v>
      </c>
      <c r="E5" t="s">
        <v>240</v>
      </c>
      <c r="F5" t="s">
        <v>282</v>
      </c>
      <c r="G5" s="12">
        <v>45353</v>
      </c>
      <c r="H5" t="s">
        <v>290</v>
      </c>
      <c r="I5" t="s">
        <v>340</v>
      </c>
      <c r="J5" t="s">
        <v>390</v>
      </c>
      <c r="K5" t="s">
        <v>340</v>
      </c>
    </row>
    <row r="6" spans="1:235" x14ac:dyDescent="0.25">
      <c r="A6" t="s">
        <v>37</v>
      </c>
      <c r="B6" t="s">
        <v>87</v>
      </c>
      <c r="C6" t="s">
        <v>137</v>
      </c>
      <c r="D6" t="s">
        <v>187</v>
      </c>
      <c r="E6" t="s">
        <v>241</v>
      </c>
      <c r="F6" t="s">
        <v>282</v>
      </c>
      <c r="G6" s="12">
        <v>45353</v>
      </c>
      <c r="H6" t="s">
        <v>291</v>
      </c>
      <c r="I6" t="s">
        <v>341</v>
      </c>
      <c r="J6" t="s">
        <v>391</v>
      </c>
      <c r="K6" t="s">
        <v>341</v>
      </c>
    </row>
    <row r="7" spans="1:235" x14ac:dyDescent="0.25">
      <c r="A7" t="s">
        <v>38</v>
      </c>
      <c r="B7" t="s">
        <v>88</v>
      </c>
      <c r="C7" t="s">
        <v>138</v>
      </c>
      <c r="D7" t="s">
        <v>188</v>
      </c>
      <c r="E7" t="s">
        <v>242</v>
      </c>
      <c r="F7" t="s">
        <v>282</v>
      </c>
      <c r="G7" s="12">
        <v>45353</v>
      </c>
      <c r="H7" t="s">
        <v>292</v>
      </c>
      <c r="I7" t="s">
        <v>342</v>
      </c>
      <c r="J7" t="s">
        <v>392</v>
      </c>
      <c r="K7" t="s">
        <v>342</v>
      </c>
    </row>
    <row r="8" spans="1:235" x14ac:dyDescent="0.25">
      <c r="A8" t="s">
        <v>39</v>
      </c>
      <c r="B8" t="s">
        <v>89</v>
      </c>
      <c r="C8" t="s">
        <v>139</v>
      </c>
      <c r="D8" t="s">
        <v>189</v>
      </c>
      <c r="E8" t="s">
        <v>243</v>
      </c>
      <c r="F8" t="s">
        <v>282</v>
      </c>
      <c r="G8" s="12">
        <v>45354</v>
      </c>
      <c r="H8" t="s">
        <v>293</v>
      </c>
      <c r="I8" t="s">
        <v>343</v>
      </c>
      <c r="J8" t="s">
        <v>393</v>
      </c>
      <c r="K8" t="s">
        <v>343</v>
      </c>
    </row>
    <row r="9" spans="1:235" x14ac:dyDescent="0.25">
      <c r="A9" t="s">
        <v>40</v>
      </c>
      <c r="B9" t="s">
        <v>90</v>
      </c>
      <c r="C9" t="s">
        <v>140</v>
      </c>
      <c r="D9" t="s">
        <v>190</v>
      </c>
      <c r="E9" t="s">
        <v>244</v>
      </c>
      <c r="F9" t="s">
        <v>282</v>
      </c>
      <c r="G9" s="12">
        <v>45354</v>
      </c>
      <c r="H9" t="s">
        <v>294</v>
      </c>
      <c r="I9" t="s">
        <v>344</v>
      </c>
      <c r="J9" t="s">
        <v>394</v>
      </c>
      <c r="K9" t="s">
        <v>344</v>
      </c>
    </row>
    <row r="10" spans="1:235" x14ac:dyDescent="0.25">
      <c r="A10" t="s">
        <v>41</v>
      </c>
      <c r="B10" t="s">
        <v>91</v>
      </c>
      <c r="C10" t="s">
        <v>141</v>
      </c>
      <c r="D10" t="s">
        <v>191</v>
      </c>
      <c r="E10" t="s">
        <v>245</v>
      </c>
      <c r="F10" t="s">
        <v>282</v>
      </c>
      <c r="G10" s="12">
        <v>45354</v>
      </c>
      <c r="H10" t="s">
        <v>295</v>
      </c>
      <c r="I10" t="s">
        <v>345</v>
      </c>
      <c r="J10" t="s">
        <v>395</v>
      </c>
      <c r="K10" t="s">
        <v>345</v>
      </c>
    </row>
    <row r="11" spans="1:235" x14ac:dyDescent="0.25">
      <c r="A11" t="s">
        <v>42</v>
      </c>
      <c r="B11" t="s">
        <v>92</v>
      </c>
      <c r="C11" t="s">
        <v>142</v>
      </c>
      <c r="D11" t="s">
        <v>192</v>
      </c>
      <c r="E11" t="s">
        <v>246</v>
      </c>
      <c r="F11" t="s">
        <v>282</v>
      </c>
      <c r="G11" s="12">
        <v>45354</v>
      </c>
      <c r="H11" t="s">
        <v>296</v>
      </c>
      <c r="I11" t="s">
        <v>346</v>
      </c>
      <c r="J11" t="s">
        <v>396</v>
      </c>
      <c r="K11" t="s">
        <v>346</v>
      </c>
    </row>
    <row r="12" spans="1:235" x14ac:dyDescent="0.25">
      <c r="A12" t="s">
        <v>43</v>
      </c>
      <c r="B12" t="s">
        <v>93</v>
      </c>
      <c r="C12" t="s">
        <v>143</v>
      </c>
      <c r="D12" t="s">
        <v>193</v>
      </c>
      <c r="E12" t="s">
        <v>234</v>
      </c>
      <c r="F12" t="s">
        <v>285</v>
      </c>
      <c r="G12" s="12">
        <v>45352</v>
      </c>
      <c r="H12" t="s">
        <v>297</v>
      </c>
      <c r="I12" t="s">
        <v>347</v>
      </c>
      <c r="J12" t="s">
        <v>397</v>
      </c>
      <c r="K12" t="s">
        <v>347</v>
      </c>
    </row>
    <row r="13" spans="1:235" x14ac:dyDescent="0.25">
      <c r="A13" t="s">
        <v>44</v>
      </c>
      <c r="B13" t="s">
        <v>94</v>
      </c>
      <c r="C13" t="s">
        <v>144</v>
      </c>
      <c r="D13" t="s">
        <v>194</v>
      </c>
      <c r="E13" t="s">
        <v>247</v>
      </c>
      <c r="F13" t="s">
        <v>285</v>
      </c>
      <c r="G13" s="12">
        <v>45352</v>
      </c>
      <c r="H13" t="s">
        <v>298</v>
      </c>
      <c r="I13" t="s">
        <v>348</v>
      </c>
      <c r="J13" t="s">
        <v>398</v>
      </c>
      <c r="K13" t="s">
        <v>348</v>
      </c>
    </row>
    <row r="14" spans="1:235" x14ac:dyDescent="0.25">
      <c r="A14" t="s">
        <v>45</v>
      </c>
      <c r="B14" t="s">
        <v>95</v>
      </c>
      <c r="C14" t="s">
        <v>145</v>
      </c>
      <c r="D14" t="s">
        <v>195</v>
      </c>
      <c r="E14" t="s">
        <v>248</v>
      </c>
      <c r="F14" t="s">
        <v>285</v>
      </c>
      <c r="G14" s="12">
        <v>45352</v>
      </c>
      <c r="H14" t="s">
        <v>299</v>
      </c>
      <c r="I14" t="s">
        <v>349</v>
      </c>
      <c r="J14" t="s">
        <v>399</v>
      </c>
      <c r="K14" t="s">
        <v>349</v>
      </c>
    </row>
    <row r="15" spans="1:235" x14ac:dyDescent="0.25">
      <c r="A15" t="s">
        <v>46</v>
      </c>
      <c r="B15" t="s">
        <v>96</v>
      </c>
      <c r="C15" t="s">
        <v>146</v>
      </c>
      <c r="D15" t="s">
        <v>196</v>
      </c>
      <c r="E15" t="s">
        <v>249</v>
      </c>
      <c r="F15" t="s">
        <v>285</v>
      </c>
      <c r="G15" s="12">
        <v>45353</v>
      </c>
      <c r="H15" t="s">
        <v>300</v>
      </c>
      <c r="I15" t="s">
        <v>350</v>
      </c>
      <c r="J15" t="s">
        <v>400</v>
      </c>
      <c r="K15" t="s">
        <v>350</v>
      </c>
    </row>
    <row r="16" spans="1:235" x14ac:dyDescent="0.25">
      <c r="A16" t="s">
        <v>47</v>
      </c>
      <c r="B16" t="s">
        <v>97</v>
      </c>
      <c r="C16" t="s">
        <v>147</v>
      </c>
      <c r="D16" t="s">
        <v>197</v>
      </c>
      <c r="E16" t="s">
        <v>250</v>
      </c>
      <c r="F16" t="s">
        <v>285</v>
      </c>
      <c r="G16" s="12">
        <v>45353</v>
      </c>
      <c r="H16" t="s">
        <v>301</v>
      </c>
      <c r="I16" t="s">
        <v>351</v>
      </c>
      <c r="J16" t="s">
        <v>390</v>
      </c>
      <c r="K16" t="s">
        <v>340</v>
      </c>
    </row>
    <row r="17" spans="1:11" x14ac:dyDescent="0.25">
      <c r="A17" t="s">
        <v>48</v>
      </c>
      <c r="B17" t="s">
        <v>98</v>
      </c>
      <c r="C17" t="s">
        <v>148</v>
      </c>
      <c r="D17" t="s">
        <v>198</v>
      </c>
      <c r="E17" t="s">
        <v>251</v>
      </c>
      <c r="F17" t="s">
        <v>285</v>
      </c>
      <c r="G17" s="12">
        <v>45353</v>
      </c>
      <c r="H17" t="s">
        <v>302</v>
      </c>
      <c r="I17" t="s">
        <v>352</v>
      </c>
      <c r="J17" t="s">
        <v>393</v>
      </c>
      <c r="K17" t="s">
        <v>343</v>
      </c>
    </row>
    <row r="18" spans="1:11" x14ac:dyDescent="0.25">
      <c r="A18" t="s">
        <v>49</v>
      </c>
      <c r="B18" t="s">
        <v>99</v>
      </c>
      <c r="C18" t="s">
        <v>149</v>
      </c>
      <c r="D18" t="s">
        <v>199</v>
      </c>
      <c r="E18" t="s">
        <v>252</v>
      </c>
      <c r="F18" t="s">
        <v>285</v>
      </c>
      <c r="G18" s="12">
        <v>45354</v>
      </c>
      <c r="H18" t="s">
        <v>303</v>
      </c>
      <c r="I18" t="s">
        <v>353</v>
      </c>
      <c r="J18" t="s">
        <v>388</v>
      </c>
      <c r="K18" t="s">
        <v>338</v>
      </c>
    </row>
    <row r="19" spans="1:11" x14ac:dyDescent="0.25">
      <c r="A19" t="s">
        <v>50</v>
      </c>
      <c r="B19" t="s">
        <v>100</v>
      </c>
      <c r="C19" t="s">
        <v>150</v>
      </c>
      <c r="D19" t="s">
        <v>200</v>
      </c>
      <c r="E19" t="s">
        <v>253</v>
      </c>
      <c r="F19" t="s">
        <v>285</v>
      </c>
      <c r="G19" s="12">
        <v>45354</v>
      </c>
      <c r="H19" t="s">
        <v>304</v>
      </c>
      <c r="I19" t="s">
        <v>354</v>
      </c>
      <c r="J19" t="s">
        <v>394</v>
      </c>
      <c r="K19" t="s">
        <v>344</v>
      </c>
    </row>
    <row r="20" spans="1:11" x14ac:dyDescent="0.25">
      <c r="A20" t="s">
        <v>51</v>
      </c>
      <c r="B20" t="s">
        <v>101</v>
      </c>
      <c r="C20" t="s">
        <v>151</v>
      </c>
      <c r="D20" t="s">
        <v>201</v>
      </c>
      <c r="E20" t="s">
        <v>254</v>
      </c>
      <c r="F20" t="s">
        <v>285</v>
      </c>
      <c r="G20" s="12">
        <v>45354</v>
      </c>
      <c r="H20" t="s">
        <v>305</v>
      </c>
      <c r="I20" t="s">
        <v>355</v>
      </c>
      <c r="J20" t="s">
        <v>387</v>
      </c>
      <c r="K20" t="s">
        <v>337</v>
      </c>
    </row>
    <row r="21" spans="1:11" x14ac:dyDescent="0.25">
      <c r="A21" t="s">
        <v>52</v>
      </c>
      <c r="B21" t="s">
        <v>102</v>
      </c>
      <c r="C21" t="s">
        <v>152</v>
      </c>
      <c r="D21" t="s">
        <v>202</v>
      </c>
      <c r="E21" t="s">
        <v>255</v>
      </c>
      <c r="F21" t="s">
        <v>285</v>
      </c>
      <c r="G21" s="12">
        <v>45354</v>
      </c>
      <c r="H21" t="s">
        <v>306</v>
      </c>
      <c r="I21" t="s">
        <v>356</v>
      </c>
      <c r="J21" t="s">
        <v>396</v>
      </c>
      <c r="K21" t="s">
        <v>346</v>
      </c>
    </row>
    <row r="22" spans="1:11" x14ac:dyDescent="0.25">
      <c r="A22" t="s">
        <v>53</v>
      </c>
      <c r="B22" t="s">
        <v>103</v>
      </c>
      <c r="C22" t="s">
        <v>153</v>
      </c>
      <c r="D22" t="s">
        <v>203</v>
      </c>
      <c r="E22" t="s">
        <v>235</v>
      </c>
      <c r="F22" t="s">
        <v>284</v>
      </c>
      <c r="G22" s="12">
        <v>45352</v>
      </c>
      <c r="H22" t="s">
        <v>307</v>
      </c>
      <c r="I22" t="s">
        <v>357</v>
      </c>
      <c r="J22" t="s">
        <v>391</v>
      </c>
      <c r="K22" t="s">
        <v>341</v>
      </c>
    </row>
    <row r="23" spans="1:11" x14ac:dyDescent="0.25">
      <c r="A23" t="s">
        <v>54</v>
      </c>
      <c r="B23" t="s">
        <v>104</v>
      </c>
      <c r="C23" t="s">
        <v>154</v>
      </c>
      <c r="D23" t="s">
        <v>204</v>
      </c>
      <c r="E23" t="s">
        <v>256</v>
      </c>
      <c r="F23" t="s">
        <v>284</v>
      </c>
      <c r="G23" s="12">
        <v>45352</v>
      </c>
      <c r="H23" t="s">
        <v>308</v>
      </c>
      <c r="I23" t="s">
        <v>358</v>
      </c>
      <c r="J23" t="s">
        <v>398</v>
      </c>
      <c r="K23" t="s">
        <v>348</v>
      </c>
    </row>
    <row r="24" spans="1:11" x14ac:dyDescent="0.25">
      <c r="A24" t="s">
        <v>55</v>
      </c>
      <c r="B24" t="s">
        <v>105</v>
      </c>
      <c r="C24" t="s">
        <v>155</v>
      </c>
      <c r="D24" t="s">
        <v>205</v>
      </c>
      <c r="E24" t="s">
        <v>257</v>
      </c>
      <c r="F24" t="s">
        <v>284</v>
      </c>
      <c r="G24" s="12">
        <v>45352</v>
      </c>
      <c r="H24" t="s">
        <v>309</v>
      </c>
      <c r="I24" t="s">
        <v>359</v>
      </c>
      <c r="J24" t="s">
        <v>397</v>
      </c>
      <c r="K24" t="s">
        <v>347</v>
      </c>
    </row>
    <row r="25" spans="1:11" x14ac:dyDescent="0.25">
      <c r="A25" t="s">
        <v>56</v>
      </c>
      <c r="B25" t="s">
        <v>106</v>
      </c>
      <c r="C25" t="s">
        <v>156</v>
      </c>
      <c r="D25" t="s">
        <v>206</v>
      </c>
      <c r="E25" t="s">
        <v>258</v>
      </c>
      <c r="F25" t="s">
        <v>284</v>
      </c>
      <c r="G25" s="12">
        <v>45353</v>
      </c>
      <c r="H25" t="s">
        <v>310</v>
      </c>
      <c r="I25" t="s">
        <v>360</v>
      </c>
      <c r="J25" t="s">
        <v>400</v>
      </c>
      <c r="K25" t="s">
        <v>350</v>
      </c>
    </row>
    <row r="26" spans="1:11" x14ac:dyDescent="0.25">
      <c r="A26" t="s">
        <v>57</v>
      </c>
      <c r="B26" t="s">
        <v>107</v>
      </c>
      <c r="C26" t="s">
        <v>157</v>
      </c>
      <c r="D26" t="s">
        <v>207</v>
      </c>
      <c r="E26" t="s">
        <v>259</v>
      </c>
      <c r="F26" t="s">
        <v>284</v>
      </c>
      <c r="G26" s="12">
        <v>45353</v>
      </c>
      <c r="H26" t="s">
        <v>311</v>
      </c>
      <c r="I26" t="s">
        <v>361</v>
      </c>
      <c r="J26" t="s">
        <v>389</v>
      </c>
      <c r="K26" t="s">
        <v>339</v>
      </c>
    </row>
    <row r="27" spans="1:11" x14ac:dyDescent="0.25">
      <c r="A27" t="s">
        <v>58</v>
      </c>
      <c r="B27" t="s">
        <v>108</v>
      </c>
      <c r="C27" t="s">
        <v>158</v>
      </c>
      <c r="D27" t="s">
        <v>208</v>
      </c>
      <c r="E27" t="s">
        <v>260</v>
      </c>
      <c r="F27" t="s">
        <v>284</v>
      </c>
      <c r="G27" s="12">
        <v>45353</v>
      </c>
      <c r="H27" t="s">
        <v>312</v>
      </c>
      <c r="I27" t="s">
        <v>362</v>
      </c>
      <c r="J27" t="s">
        <v>395</v>
      </c>
      <c r="K27" t="s">
        <v>345</v>
      </c>
    </row>
    <row r="28" spans="1:11" x14ac:dyDescent="0.25">
      <c r="A28" t="s">
        <v>59</v>
      </c>
      <c r="B28" t="s">
        <v>109</v>
      </c>
      <c r="C28" t="s">
        <v>159</v>
      </c>
      <c r="D28" t="s">
        <v>209</v>
      </c>
      <c r="E28" t="s">
        <v>261</v>
      </c>
      <c r="F28" t="s">
        <v>284</v>
      </c>
      <c r="G28" s="12">
        <v>45354</v>
      </c>
      <c r="H28" t="s">
        <v>313</v>
      </c>
      <c r="I28" t="s">
        <v>363</v>
      </c>
      <c r="J28" t="s">
        <v>392</v>
      </c>
      <c r="K28" t="s">
        <v>342</v>
      </c>
    </row>
    <row r="29" spans="1:11" x14ac:dyDescent="0.25">
      <c r="A29" t="s">
        <v>60</v>
      </c>
      <c r="B29" t="s">
        <v>110</v>
      </c>
      <c r="C29" t="s">
        <v>160</v>
      </c>
      <c r="D29" t="s">
        <v>210</v>
      </c>
      <c r="E29" t="s">
        <v>262</v>
      </c>
      <c r="F29" t="s">
        <v>284</v>
      </c>
      <c r="G29" s="12">
        <v>45354</v>
      </c>
      <c r="H29" t="s">
        <v>314</v>
      </c>
      <c r="I29" t="s">
        <v>364</v>
      </c>
      <c r="J29" t="s">
        <v>399</v>
      </c>
      <c r="K29" t="s">
        <v>349</v>
      </c>
    </row>
    <row r="30" spans="1:11" x14ac:dyDescent="0.25">
      <c r="A30" t="s">
        <v>61</v>
      </c>
      <c r="B30" t="s">
        <v>111</v>
      </c>
      <c r="C30" t="s">
        <v>161</v>
      </c>
      <c r="D30" t="s">
        <v>211</v>
      </c>
      <c r="E30" t="s">
        <v>263</v>
      </c>
      <c r="F30" t="s">
        <v>284</v>
      </c>
      <c r="G30" s="12">
        <v>45354</v>
      </c>
      <c r="H30" t="s">
        <v>315</v>
      </c>
      <c r="I30" t="s">
        <v>365</v>
      </c>
      <c r="J30" t="s">
        <v>393</v>
      </c>
      <c r="K30" t="s">
        <v>343</v>
      </c>
    </row>
    <row r="31" spans="1:11" x14ac:dyDescent="0.25">
      <c r="A31" t="s">
        <v>62</v>
      </c>
      <c r="B31" t="s">
        <v>112</v>
      </c>
      <c r="C31" t="s">
        <v>162</v>
      </c>
      <c r="D31" t="s">
        <v>212</v>
      </c>
      <c r="E31" t="s">
        <v>264</v>
      </c>
      <c r="F31" t="s">
        <v>284</v>
      </c>
      <c r="G31" s="12">
        <v>45354</v>
      </c>
      <c r="H31" t="s">
        <v>316</v>
      </c>
      <c r="I31" t="s">
        <v>366</v>
      </c>
      <c r="J31" t="s">
        <v>387</v>
      </c>
      <c r="K31" t="s">
        <v>337</v>
      </c>
    </row>
    <row r="32" spans="1:11" x14ac:dyDescent="0.25">
      <c r="A32" t="s">
        <v>63</v>
      </c>
      <c r="B32" t="s">
        <v>113</v>
      </c>
      <c r="C32" t="s">
        <v>163</v>
      </c>
      <c r="D32" t="s">
        <v>213</v>
      </c>
      <c r="E32" t="s">
        <v>236</v>
      </c>
      <c r="F32" t="s">
        <v>286</v>
      </c>
      <c r="G32" s="12">
        <v>45352</v>
      </c>
      <c r="H32" t="s">
        <v>317</v>
      </c>
      <c r="I32" t="s">
        <v>367</v>
      </c>
      <c r="J32" t="s">
        <v>394</v>
      </c>
      <c r="K32" t="s">
        <v>344</v>
      </c>
    </row>
    <row r="33" spans="1:11" x14ac:dyDescent="0.25">
      <c r="A33" t="s">
        <v>64</v>
      </c>
      <c r="B33" t="s">
        <v>114</v>
      </c>
      <c r="C33" t="s">
        <v>164</v>
      </c>
      <c r="D33" t="s">
        <v>214</v>
      </c>
      <c r="E33" t="s">
        <v>265</v>
      </c>
      <c r="F33" t="s">
        <v>286</v>
      </c>
      <c r="G33" s="12">
        <v>45352</v>
      </c>
      <c r="H33" t="s">
        <v>318</v>
      </c>
      <c r="I33" t="s">
        <v>368</v>
      </c>
      <c r="J33" t="s">
        <v>395</v>
      </c>
      <c r="K33" t="s">
        <v>345</v>
      </c>
    </row>
    <row r="34" spans="1:11" x14ac:dyDescent="0.25">
      <c r="A34" t="s">
        <v>65</v>
      </c>
      <c r="B34" t="s">
        <v>115</v>
      </c>
      <c r="C34" t="s">
        <v>165</v>
      </c>
      <c r="D34" t="s">
        <v>215</v>
      </c>
      <c r="E34" t="s">
        <v>266</v>
      </c>
      <c r="F34" t="s">
        <v>286</v>
      </c>
      <c r="G34" s="12">
        <v>45352</v>
      </c>
      <c r="H34" t="s">
        <v>319</v>
      </c>
      <c r="I34" t="s">
        <v>369</v>
      </c>
      <c r="J34" t="s">
        <v>391</v>
      </c>
      <c r="K34" t="s">
        <v>341</v>
      </c>
    </row>
    <row r="35" spans="1:11" x14ac:dyDescent="0.25">
      <c r="A35" t="s">
        <v>66</v>
      </c>
      <c r="B35" t="s">
        <v>116</v>
      </c>
      <c r="C35" t="s">
        <v>166</v>
      </c>
      <c r="D35" t="s">
        <v>216</v>
      </c>
      <c r="E35" t="s">
        <v>267</v>
      </c>
      <c r="F35" t="s">
        <v>286</v>
      </c>
      <c r="G35" s="12">
        <v>45352</v>
      </c>
      <c r="H35" t="s">
        <v>320</v>
      </c>
      <c r="I35" t="s">
        <v>370</v>
      </c>
      <c r="J35" t="s">
        <v>400</v>
      </c>
      <c r="K35" t="s">
        <v>350</v>
      </c>
    </row>
    <row r="36" spans="1:11" x14ac:dyDescent="0.25">
      <c r="A36" t="s">
        <v>67</v>
      </c>
      <c r="B36" t="s">
        <v>117</v>
      </c>
      <c r="C36" t="s">
        <v>167</v>
      </c>
      <c r="D36" t="s">
        <v>217</v>
      </c>
      <c r="E36" t="s">
        <v>268</v>
      </c>
      <c r="F36" t="s">
        <v>286</v>
      </c>
      <c r="G36" s="12">
        <v>45353</v>
      </c>
      <c r="H36" t="s">
        <v>321</v>
      </c>
      <c r="I36" t="s">
        <v>371</v>
      </c>
      <c r="J36" t="s">
        <v>390</v>
      </c>
      <c r="K36" t="s">
        <v>340</v>
      </c>
    </row>
    <row r="37" spans="1:11" x14ac:dyDescent="0.25">
      <c r="A37" t="s">
        <v>68</v>
      </c>
      <c r="B37" t="s">
        <v>118</v>
      </c>
      <c r="C37" t="s">
        <v>168</v>
      </c>
      <c r="D37" t="s">
        <v>218</v>
      </c>
      <c r="E37" t="s">
        <v>269</v>
      </c>
      <c r="F37" t="s">
        <v>286</v>
      </c>
      <c r="G37" s="12">
        <v>45353</v>
      </c>
      <c r="H37" t="s">
        <v>322</v>
      </c>
      <c r="I37" t="s">
        <v>372</v>
      </c>
      <c r="J37" t="s">
        <v>398</v>
      </c>
      <c r="K37" t="s">
        <v>348</v>
      </c>
    </row>
    <row r="38" spans="1:11" x14ac:dyDescent="0.25">
      <c r="A38" t="s">
        <v>69</v>
      </c>
      <c r="B38" t="s">
        <v>119</v>
      </c>
      <c r="C38" t="s">
        <v>169</v>
      </c>
      <c r="D38" t="s">
        <v>219</v>
      </c>
      <c r="E38" t="s">
        <v>270</v>
      </c>
      <c r="F38" t="s">
        <v>286</v>
      </c>
      <c r="G38" s="12">
        <v>45354</v>
      </c>
      <c r="H38" t="s">
        <v>323</v>
      </c>
      <c r="I38" t="s">
        <v>373</v>
      </c>
      <c r="J38" t="s">
        <v>389</v>
      </c>
      <c r="K38" t="s">
        <v>339</v>
      </c>
    </row>
    <row r="39" spans="1:11" x14ac:dyDescent="0.25">
      <c r="A39" t="s">
        <v>70</v>
      </c>
      <c r="B39" t="s">
        <v>120</v>
      </c>
      <c r="C39" t="s">
        <v>170</v>
      </c>
      <c r="D39" t="s">
        <v>220</v>
      </c>
      <c r="E39" t="s">
        <v>271</v>
      </c>
      <c r="F39" t="s">
        <v>286</v>
      </c>
      <c r="G39" s="12">
        <v>45354</v>
      </c>
      <c r="H39" t="s">
        <v>324</v>
      </c>
      <c r="I39" t="s">
        <v>374</v>
      </c>
      <c r="J39" t="s">
        <v>399</v>
      </c>
      <c r="K39" t="s">
        <v>349</v>
      </c>
    </row>
    <row r="40" spans="1:11" x14ac:dyDescent="0.25">
      <c r="A40" t="s">
        <v>71</v>
      </c>
      <c r="B40" t="s">
        <v>121</v>
      </c>
      <c r="C40" t="s">
        <v>171</v>
      </c>
      <c r="D40" t="s">
        <v>221</v>
      </c>
      <c r="E40" t="s">
        <v>272</v>
      </c>
      <c r="F40" t="s">
        <v>286</v>
      </c>
      <c r="G40" s="12">
        <v>45354</v>
      </c>
      <c r="H40" t="s">
        <v>325</v>
      </c>
      <c r="I40" t="s">
        <v>375</v>
      </c>
      <c r="J40" t="s">
        <v>392</v>
      </c>
      <c r="K40" t="s">
        <v>342</v>
      </c>
    </row>
    <row r="41" spans="1:11" x14ac:dyDescent="0.25">
      <c r="A41" t="s">
        <v>72</v>
      </c>
      <c r="B41" t="s">
        <v>122</v>
      </c>
      <c r="C41" t="s">
        <v>172</v>
      </c>
      <c r="D41" t="s">
        <v>222</v>
      </c>
      <c r="E41" t="s">
        <v>273</v>
      </c>
      <c r="F41" t="s">
        <v>286</v>
      </c>
      <c r="G41" s="12">
        <v>45354</v>
      </c>
      <c r="H41" t="s">
        <v>326</v>
      </c>
      <c r="I41" t="s">
        <v>376</v>
      </c>
      <c r="J41" t="s">
        <v>396</v>
      </c>
      <c r="K41" t="s">
        <v>346</v>
      </c>
    </row>
    <row r="42" spans="1:11" x14ac:dyDescent="0.25">
      <c r="A42" t="s">
        <v>73</v>
      </c>
      <c r="B42" t="s">
        <v>123</v>
      </c>
      <c r="C42" t="s">
        <v>173</v>
      </c>
      <c r="D42" t="s">
        <v>223</v>
      </c>
      <c r="E42" t="s">
        <v>237</v>
      </c>
      <c r="F42" t="s">
        <v>283</v>
      </c>
      <c r="G42" s="12">
        <v>45352</v>
      </c>
      <c r="H42" t="s">
        <v>327</v>
      </c>
      <c r="I42" t="s">
        <v>377</v>
      </c>
      <c r="J42" t="s">
        <v>388</v>
      </c>
      <c r="K42" t="s">
        <v>338</v>
      </c>
    </row>
    <row r="43" spans="1:11" x14ac:dyDescent="0.25">
      <c r="A43" t="s">
        <v>74</v>
      </c>
      <c r="B43" t="s">
        <v>124</v>
      </c>
      <c r="C43" t="s">
        <v>174</v>
      </c>
      <c r="D43" t="s">
        <v>224</v>
      </c>
      <c r="E43" t="s">
        <v>274</v>
      </c>
      <c r="F43" t="s">
        <v>283</v>
      </c>
      <c r="G43" s="12">
        <v>45352</v>
      </c>
      <c r="H43" t="s">
        <v>328</v>
      </c>
      <c r="I43" t="s">
        <v>378</v>
      </c>
      <c r="J43" t="s">
        <v>397</v>
      </c>
      <c r="K43" t="s">
        <v>347</v>
      </c>
    </row>
    <row r="44" spans="1:11" x14ac:dyDescent="0.25">
      <c r="A44" t="s">
        <v>75</v>
      </c>
      <c r="B44" t="s">
        <v>125</v>
      </c>
      <c r="C44" t="s">
        <v>175</v>
      </c>
      <c r="D44" t="s">
        <v>225</v>
      </c>
      <c r="E44" t="s">
        <v>275</v>
      </c>
      <c r="F44" t="s">
        <v>283</v>
      </c>
      <c r="G44" s="12">
        <v>45352</v>
      </c>
      <c r="H44" t="s">
        <v>329</v>
      </c>
      <c r="I44" t="s">
        <v>379</v>
      </c>
      <c r="J44" t="s">
        <v>387</v>
      </c>
      <c r="K44" t="s">
        <v>337</v>
      </c>
    </row>
    <row r="45" spans="1:11" x14ac:dyDescent="0.25">
      <c r="A45" t="s">
        <v>76</v>
      </c>
      <c r="B45" t="s">
        <v>126</v>
      </c>
      <c r="C45" t="s">
        <v>176</v>
      </c>
      <c r="D45" t="s">
        <v>226</v>
      </c>
      <c r="E45" t="s">
        <v>276</v>
      </c>
      <c r="F45" t="s">
        <v>283</v>
      </c>
      <c r="G45" s="12">
        <v>45353</v>
      </c>
      <c r="H45" t="s">
        <v>330</v>
      </c>
      <c r="I45" t="s">
        <v>380</v>
      </c>
      <c r="J45" t="s">
        <v>390</v>
      </c>
      <c r="K45" t="s">
        <v>340</v>
      </c>
    </row>
    <row r="46" spans="1:11" x14ac:dyDescent="0.25">
      <c r="A46" t="s">
        <v>77</v>
      </c>
      <c r="B46" t="s">
        <v>127</v>
      </c>
      <c r="C46" t="s">
        <v>177</v>
      </c>
      <c r="D46" t="s">
        <v>227</v>
      </c>
      <c r="E46" t="s">
        <v>277</v>
      </c>
      <c r="F46" t="s">
        <v>283</v>
      </c>
      <c r="G46" s="12">
        <v>45353</v>
      </c>
      <c r="H46" t="s">
        <v>331</v>
      </c>
      <c r="I46" t="s">
        <v>381</v>
      </c>
      <c r="J46" t="s">
        <v>389</v>
      </c>
      <c r="K46" t="s">
        <v>339</v>
      </c>
    </row>
    <row r="47" spans="1:11" x14ac:dyDescent="0.25">
      <c r="A47" t="s">
        <v>78</v>
      </c>
      <c r="B47" t="s">
        <v>128</v>
      </c>
      <c r="C47" t="s">
        <v>178</v>
      </c>
      <c r="D47" t="s">
        <v>228</v>
      </c>
      <c r="E47" t="s">
        <v>278</v>
      </c>
      <c r="F47" t="s">
        <v>283</v>
      </c>
      <c r="G47" s="12">
        <v>45353</v>
      </c>
      <c r="H47" t="s">
        <v>332</v>
      </c>
      <c r="I47" t="s">
        <v>382</v>
      </c>
      <c r="J47" t="s">
        <v>398</v>
      </c>
      <c r="K47" t="s">
        <v>348</v>
      </c>
    </row>
    <row r="48" spans="1:11" x14ac:dyDescent="0.25">
      <c r="A48" t="s">
        <v>79</v>
      </c>
      <c r="B48" t="s">
        <v>129</v>
      </c>
      <c r="C48" t="s">
        <v>179</v>
      </c>
      <c r="D48" t="s">
        <v>229</v>
      </c>
      <c r="E48" t="s">
        <v>279</v>
      </c>
      <c r="F48" t="s">
        <v>283</v>
      </c>
      <c r="G48" s="12">
        <v>45354</v>
      </c>
      <c r="H48" t="s">
        <v>333</v>
      </c>
      <c r="I48" t="s">
        <v>383</v>
      </c>
      <c r="J48" t="s">
        <v>393</v>
      </c>
      <c r="K48" t="s">
        <v>343</v>
      </c>
    </row>
    <row r="49" spans="1:11" x14ac:dyDescent="0.25">
      <c r="A49" t="s">
        <v>80</v>
      </c>
      <c r="B49" t="s">
        <v>130</v>
      </c>
      <c r="C49" t="s">
        <v>180</v>
      </c>
      <c r="D49" t="s">
        <v>230</v>
      </c>
      <c r="E49" t="s">
        <v>280</v>
      </c>
      <c r="F49" t="s">
        <v>283</v>
      </c>
      <c r="G49" s="12">
        <v>45354</v>
      </c>
      <c r="H49" t="s">
        <v>334</v>
      </c>
      <c r="I49" t="s">
        <v>384</v>
      </c>
      <c r="J49" t="s">
        <v>400</v>
      </c>
      <c r="K49" t="s">
        <v>350</v>
      </c>
    </row>
    <row r="50" spans="1:11" x14ac:dyDescent="0.25">
      <c r="A50" t="s">
        <v>81</v>
      </c>
      <c r="B50" t="s">
        <v>131</v>
      </c>
      <c r="C50" t="s">
        <v>181</v>
      </c>
      <c r="D50" t="s">
        <v>231</v>
      </c>
      <c r="E50" t="s">
        <v>281</v>
      </c>
      <c r="F50" t="s">
        <v>283</v>
      </c>
      <c r="G50" s="12">
        <v>45354</v>
      </c>
      <c r="H50" t="s">
        <v>335</v>
      </c>
      <c r="I50" t="s">
        <v>385</v>
      </c>
      <c r="J50" t="s">
        <v>395</v>
      </c>
      <c r="K50" t="s">
        <v>345</v>
      </c>
    </row>
    <row r="51" spans="1:11" x14ac:dyDescent="0.25">
      <c r="A51" t="s">
        <v>82</v>
      </c>
      <c r="B51" t="s">
        <v>132</v>
      </c>
      <c r="C51" t="s">
        <v>182</v>
      </c>
      <c r="D51" t="s">
        <v>232</v>
      </c>
      <c r="E51" t="s">
        <v>281</v>
      </c>
      <c r="F51" t="s">
        <v>283</v>
      </c>
      <c r="G51" s="12">
        <v>45354</v>
      </c>
      <c r="H51" t="s">
        <v>336</v>
      </c>
      <c r="I51" t="s">
        <v>386</v>
      </c>
      <c r="J51" t="s">
        <v>388</v>
      </c>
      <c r="K51" t="s">
        <v>338</v>
      </c>
    </row>
  </sheetData>
  <autoFilter ref="A1:L51" xr:uid="{F09ABB29-AB4C-433F-A751-FDD33E2FDBE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E63E-C3BE-4247-9DCF-67910EE8D726}">
  <dimension ref="A1:O102"/>
  <sheetViews>
    <sheetView tabSelected="1" workbookViewId="0">
      <selection activeCell="H42" sqref="H42"/>
    </sheetView>
  </sheetViews>
  <sheetFormatPr defaultRowHeight="15" x14ac:dyDescent="0.25"/>
  <cols>
    <col min="1" max="1" width="15.5703125" customWidth="1"/>
    <col min="2" max="2" width="18.7109375" customWidth="1"/>
    <col min="3" max="3" width="13.7109375" bestFit="1" customWidth="1"/>
    <col min="4" max="4" width="5.85546875" customWidth="1"/>
    <col min="5" max="5" width="24.7109375" bestFit="1" customWidth="1"/>
    <col min="6" max="6" width="11.140625" bestFit="1" customWidth="1"/>
    <col min="7" max="7" width="11.42578125" bestFit="1" customWidth="1"/>
    <col min="8" max="8" width="38.28515625" customWidth="1"/>
    <col min="9" max="9" width="3.85546875" customWidth="1"/>
    <col min="10" max="10" width="13.28515625" bestFit="1" customWidth="1"/>
    <col min="11" max="11" width="14.28515625" bestFit="1" customWidth="1"/>
    <col min="12" max="12" width="14.5703125" bestFit="1" customWidth="1"/>
    <col min="13" max="13" width="12.5703125" bestFit="1" customWidth="1"/>
    <col min="14" max="14" width="20.7109375" bestFit="1" customWidth="1"/>
    <col min="15" max="15" width="22" bestFit="1" customWidth="1"/>
  </cols>
  <sheetData>
    <row r="1" spans="1:15" s="11" customFormat="1" ht="65.25" customHeight="1" x14ac:dyDescent="0.25">
      <c r="A1" s="4" t="s">
        <v>0</v>
      </c>
      <c r="B1" s="4" t="s">
        <v>1</v>
      </c>
      <c r="C1" s="4" t="s">
        <v>9</v>
      </c>
      <c r="D1" s="5" t="s">
        <v>2</v>
      </c>
      <c r="E1" s="4" t="s">
        <v>3</v>
      </c>
      <c r="F1" s="6" t="s">
        <v>4</v>
      </c>
      <c r="G1" s="7" t="s">
        <v>20</v>
      </c>
      <c r="H1" s="4" t="s">
        <v>5</v>
      </c>
      <c r="I1" s="8" t="s">
        <v>6</v>
      </c>
      <c r="J1" s="4" t="s">
        <v>7</v>
      </c>
      <c r="K1" s="6" t="s">
        <v>8</v>
      </c>
      <c r="L1" s="7" t="s">
        <v>21</v>
      </c>
      <c r="M1" s="9" t="s">
        <v>22</v>
      </c>
      <c r="N1" s="10" t="s">
        <v>23</v>
      </c>
      <c r="O1" s="4" t="s">
        <v>24</v>
      </c>
    </row>
    <row r="2" spans="1:15" x14ac:dyDescent="0.25">
      <c r="A2" t="s">
        <v>73</v>
      </c>
      <c r="B2" t="s">
        <v>123</v>
      </c>
      <c r="C2" t="s">
        <v>237</v>
      </c>
      <c r="E2" s="14" t="s">
        <v>501</v>
      </c>
      <c r="F2" s="12">
        <v>45639</v>
      </c>
      <c r="G2" s="15">
        <v>0.60555555555555551</v>
      </c>
      <c r="H2" t="s">
        <v>502</v>
      </c>
      <c r="I2">
        <v>1</v>
      </c>
      <c r="J2" s="14" t="s">
        <v>414</v>
      </c>
      <c r="K2" s="12">
        <v>45639</v>
      </c>
      <c r="L2" s="15">
        <v>0.68472222222222223</v>
      </c>
      <c r="M2">
        <v>114</v>
      </c>
    </row>
    <row r="3" spans="1:15" x14ac:dyDescent="0.25">
      <c r="A3" t="s">
        <v>54</v>
      </c>
      <c r="B3" t="s">
        <v>104</v>
      </c>
      <c r="C3" t="s">
        <v>256</v>
      </c>
      <c r="E3" t="s">
        <v>473</v>
      </c>
      <c r="F3" s="12">
        <v>45384</v>
      </c>
      <c r="G3" s="15">
        <v>0.37430555555555556</v>
      </c>
      <c r="H3" t="s">
        <v>503</v>
      </c>
      <c r="K3" s="12">
        <v>45384</v>
      </c>
      <c r="L3" s="15">
        <v>0.40763888888888888</v>
      </c>
      <c r="M3">
        <v>48</v>
      </c>
    </row>
    <row r="4" spans="1:15" x14ac:dyDescent="0.25">
      <c r="A4" t="s">
        <v>74</v>
      </c>
      <c r="B4" t="s">
        <v>124</v>
      </c>
      <c r="C4" t="s">
        <v>274</v>
      </c>
      <c r="E4" s="14" t="s">
        <v>501</v>
      </c>
      <c r="F4" s="12">
        <v>45877</v>
      </c>
      <c r="G4" s="15">
        <v>0.47499999999999998</v>
      </c>
      <c r="H4" s="14" t="s">
        <v>502</v>
      </c>
      <c r="I4">
        <v>1</v>
      </c>
      <c r="J4" s="14" t="s">
        <v>414</v>
      </c>
      <c r="K4" s="12">
        <v>45877</v>
      </c>
      <c r="L4" s="15">
        <v>0.54513888888888884</v>
      </c>
      <c r="M4">
        <v>101</v>
      </c>
    </row>
    <row r="5" spans="1:15" x14ac:dyDescent="0.25">
      <c r="A5" t="s">
        <v>60</v>
      </c>
      <c r="B5" t="s">
        <v>110</v>
      </c>
      <c r="C5" t="s">
        <v>262</v>
      </c>
      <c r="E5" s="14" t="s">
        <v>473</v>
      </c>
      <c r="F5" s="12">
        <v>45709</v>
      </c>
      <c r="G5" s="15">
        <v>0.59236111111111112</v>
      </c>
      <c r="H5" s="14" t="s">
        <v>503</v>
      </c>
      <c r="K5" s="12">
        <v>45709</v>
      </c>
      <c r="L5" s="15">
        <v>0.67222222222222228</v>
      </c>
      <c r="M5">
        <v>115</v>
      </c>
    </row>
    <row r="6" spans="1:15" x14ac:dyDescent="0.25">
      <c r="A6" t="s">
        <v>60</v>
      </c>
      <c r="B6" t="s">
        <v>110</v>
      </c>
      <c r="C6" t="s">
        <v>262</v>
      </c>
      <c r="E6" t="s">
        <v>470</v>
      </c>
      <c r="F6" s="12">
        <v>45976</v>
      </c>
      <c r="G6" s="15">
        <v>0.51458333333333328</v>
      </c>
      <c r="H6" s="14" t="s">
        <v>505</v>
      </c>
      <c r="K6" s="12">
        <v>45976</v>
      </c>
      <c r="L6" s="15">
        <v>0.53472222222222221</v>
      </c>
      <c r="M6">
        <v>29</v>
      </c>
    </row>
    <row r="7" spans="1:15" x14ac:dyDescent="0.25">
      <c r="A7" t="s">
        <v>75</v>
      </c>
      <c r="B7" t="s">
        <v>125</v>
      </c>
      <c r="C7" t="s">
        <v>275</v>
      </c>
      <c r="E7" s="14" t="s">
        <v>501</v>
      </c>
      <c r="F7" s="12">
        <v>45694</v>
      </c>
      <c r="G7" s="15">
        <v>0.55486111111111114</v>
      </c>
      <c r="H7" s="14" t="s">
        <v>502</v>
      </c>
      <c r="I7">
        <v>1</v>
      </c>
      <c r="J7" s="14" t="s">
        <v>414</v>
      </c>
      <c r="K7" s="12">
        <v>45694</v>
      </c>
      <c r="L7" s="15">
        <v>0.59305555555555556</v>
      </c>
      <c r="M7">
        <v>55</v>
      </c>
    </row>
    <row r="8" spans="1:15" x14ac:dyDescent="0.25">
      <c r="A8" t="s">
        <v>45</v>
      </c>
      <c r="B8" t="s">
        <v>95</v>
      </c>
      <c r="C8" t="s">
        <v>248</v>
      </c>
      <c r="E8" s="14" t="s">
        <v>501</v>
      </c>
      <c r="F8" s="12">
        <v>45376</v>
      </c>
      <c r="G8" s="15">
        <v>0.5541666666666667</v>
      </c>
      <c r="H8" s="14" t="s">
        <v>502</v>
      </c>
      <c r="I8">
        <v>1</v>
      </c>
      <c r="J8" t="s">
        <v>405</v>
      </c>
      <c r="K8" s="12">
        <v>45376</v>
      </c>
      <c r="L8" s="15">
        <v>0.57777777777777772</v>
      </c>
      <c r="M8">
        <v>34</v>
      </c>
    </row>
    <row r="9" spans="1:15" x14ac:dyDescent="0.25">
      <c r="A9" t="s">
        <v>76</v>
      </c>
      <c r="B9" t="s">
        <v>126</v>
      </c>
      <c r="C9" t="s">
        <v>276</v>
      </c>
      <c r="E9" s="14" t="s">
        <v>473</v>
      </c>
      <c r="F9" s="12">
        <v>45557</v>
      </c>
      <c r="G9" s="15">
        <v>0.46250000000000002</v>
      </c>
      <c r="H9" s="14" t="s">
        <v>503</v>
      </c>
      <c r="K9" s="12">
        <v>45557</v>
      </c>
      <c r="L9" s="15">
        <v>0.51111111111111107</v>
      </c>
      <c r="M9">
        <v>70</v>
      </c>
    </row>
    <row r="10" spans="1:15" x14ac:dyDescent="0.25">
      <c r="A10" t="s">
        <v>75</v>
      </c>
      <c r="B10" t="s">
        <v>125</v>
      </c>
      <c r="C10" t="s">
        <v>275</v>
      </c>
      <c r="E10" s="14" t="s">
        <v>501</v>
      </c>
      <c r="F10" s="12">
        <v>45442</v>
      </c>
      <c r="G10" s="15">
        <v>0.43402777777777779</v>
      </c>
      <c r="H10" s="14" t="s">
        <v>502</v>
      </c>
      <c r="I10">
        <v>1</v>
      </c>
      <c r="J10" s="14" t="s">
        <v>414</v>
      </c>
      <c r="K10" s="12">
        <v>45442</v>
      </c>
      <c r="L10" s="15">
        <v>0.48958333333333331</v>
      </c>
      <c r="M10">
        <v>80</v>
      </c>
    </row>
    <row r="11" spans="1:15" x14ac:dyDescent="0.25">
      <c r="A11" t="s">
        <v>46</v>
      </c>
      <c r="B11" t="s">
        <v>96</v>
      </c>
      <c r="C11" t="s">
        <v>249</v>
      </c>
      <c r="E11" s="14" t="s">
        <v>501</v>
      </c>
      <c r="F11" s="12">
        <v>45626</v>
      </c>
      <c r="G11" s="15">
        <v>0.56805555555555554</v>
      </c>
      <c r="H11" s="14" t="s">
        <v>502</v>
      </c>
      <c r="I11">
        <v>1</v>
      </c>
      <c r="J11" t="s">
        <v>406</v>
      </c>
      <c r="K11" s="12">
        <v>45626</v>
      </c>
      <c r="L11" s="15">
        <v>0.5854166666666667</v>
      </c>
      <c r="M11">
        <v>25</v>
      </c>
    </row>
    <row r="12" spans="1:15" x14ac:dyDescent="0.25">
      <c r="A12" t="s">
        <v>47</v>
      </c>
      <c r="B12" t="s">
        <v>97</v>
      </c>
      <c r="C12" t="s">
        <v>250</v>
      </c>
      <c r="E12" s="14" t="s">
        <v>501</v>
      </c>
      <c r="F12" s="12">
        <v>45748</v>
      </c>
      <c r="G12" s="15">
        <v>0.57986111111111116</v>
      </c>
      <c r="H12" s="14" t="s">
        <v>502</v>
      </c>
      <c r="I12">
        <v>1</v>
      </c>
      <c r="J12" t="s">
        <v>407</v>
      </c>
      <c r="K12" s="12">
        <v>45748</v>
      </c>
      <c r="L12" s="15">
        <v>0.60347222222222219</v>
      </c>
      <c r="M12">
        <v>34</v>
      </c>
    </row>
    <row r="13" spans="1:15" x14ac:dyDescent="0.25">
      <c r="A13" t="s">
        <v>75</v>
      </c>
      <c r="B13" t="s">
        <v>125</v>
      </c>
      <c r="C13" t="s">
        <v>275</v>
      </c>
      <c r="E13" s="14" t="s">
        <v>501</v>
      </c>
      <c r="F13" s="12">
        <v>45383</v>
      </c>
      <c r="G13" s="15">
        <v>0.36249999999999999</v>
      </c>
      <c r="H13" s="14" t="s">
        <v>502</v>
      </c>
      <c r="I13">
        <v>1</v>
      </c>
      <c r="J13" s="14" t="s">
        <v>414</v>
      </c>
      <c r="K13" s="12">
        <v>45383</v>
      </c>
      <c r="L13" s="15">
        <v>0.42986111111111114</v>
      </c>
      <c r="M13">
        <v>97</v>
      </c>
    </row>
    <row r="14" spans="1:15" x14ac:dyDescent="0.25">
      <c r="A14" t="s">
        <v>57</v>
      </c>
      <c r="B14" t="s">
        <v>107</v>
      </c>
      <c r="C14" t="s">
        <v>259</v>
      </c>
      <c r="E14" s="14" t="s">
        <v>470</v>
      </c>
      <c r="F14" s="12">
        <v>45534</v>
      </c>
      <c r="G14" s="15">
        <v>0.55208333333333337</v>
      </c>
      <c r="H14" s="14" t="s">
        <v>505</v>
      </c>
      <c r="K14" s="12">
        <v>45534</v>
      </c>
      <c r="L14" s="15">
        <v>0.61250000000000004</v>
      </c>
      <c r="M14">
        <v>87</v>
      </c>
    </row>
    <row r="15" spans="1:15" x14ac:dyDescent="0.25">
      <c r="A15" t="s">
        <v>58</v>
      </c>
      <c r="B15" t="s">
        <v>108</v>
      </c>
      <c r="C15" t="s">
        <v>260</v>
      </c>
      <c r="E15" s="14" t="s">
        <v>473</v>
      </c>
      <c r="F15" s="12">
        <v>45917</v>
      </c>
      <c r="G15" s="15">
        <v>0.33333333333333331</v>
      </c>
      <c r="H15" s="14" t="s">
        <v>503</v>
      </c>
      <c r="K15" s="12">
        <v>45917</v>
      </c>
      <c r="L15" s="15">
        <v>0.37013888888888891</v>
      </c>
      <c r="M15">
        <v>53</v>
      </c>
    </row>
    <row r="16" spans="1:15" x14ac:dyDescent="0.25">
      <c r="A16" t="s">
        <v>46</v>
      </c>
      <c r="B16" t="s">
        <v>96</v>
      </c>
      <c r="C16" t="s">
        <v>249</v>
      </c>
      <c r="E16" s="14" t="s">
        <v>473</v>
      </c>
      <c r="F16" s="12">
        <v>45796</v>
      </c>
      <c r="G16" s="15">
        <v>0.61250000000000004</v>
      </c>
      <c r="H16" s="14" t="s">
        <v>503</v>
      </c>
      <c r="K16" s="12">
        <v>45796</v>
      </c>
      <c r="L16" s="15">
        <v>0.6743055555555556</v>
      </c>
      <c r="M16">
        <v>89</v>
      </c>
    </row>
    <row r="17" spans="1:13" x14ac:dyDescent="0.25">
      <c r="A17" t="s">
        <v>62</v>
      </c>
      <c r="B17" t="s">
        <v>112</v>
      </c>
      <c r="C17" t="s">
        <v>264</v>
      </c>
      <c r="E17" s="14" t="s">
        <v>473</v>
      </c>
      <c r="F17" s="12">
        <v>45808</v>
      </c>
      <c r="G17" s="15">
        <v>0.49027777777777776</v>
      </c>
      <c r="H17" s="14" t="s">
        <v>503</v>
      </c>
      <c r="K17" s="12">
        <v>45808</v>
      </c>
      <c r="L17" s="15">
        <v>0.56041666666666667</v>
      </c>
      <c r="M17">
        <v>101</v>
      </c>
    </row>
    <row r="18" spans="1:13" x14ac:dyDescent="0.25">
      <c r="A18" t="s">
        <v>65</v>
      </c>
      <c r="B18" t="s">
        <v>115</v>
      </c>
      <c r="C18" t="s">
        <v>266</v>
      </c>
      <c r="E18" s="14" t="s">
        <v>473</v>
      </c>
      <c r="F18" s="12">
        <v>45840</v>
      </c>
      <c r="G18" s="15">
        <v>0.61527777777777781</v>
      </c>
      <c r="H18" s="14" t="s">
        <v>503</v>
      </c>
      <c r="K18" s="12">
        <v>45840</v>
      </c>
      <c r="L18" s="15">
        <v>0.6958333333333333</v>
      </c>
      <c r="M18">
        <v>116</v>
      </c>
    </row>
    <row r="19" spans="1:13" x14ac:dyDescent="0.25">
      <c r="A19" t="s">
        <v>75</v>
      </c>
      <c r="B19" t="s">
        <v>125</v>
      </c>
      <c r="C19" t="s">
        <v>275</v>
      </c>
      <c r="E19" s="14" t="s">
        <v>501</v>
      </c>
      <c r="F19" s="12">
        <v>45735</v>
      </c>
      <c r="G19" s="15">
        <v>0.3576388888888889</v>
      </c>
      <c r="H19" s="14" t="s">
        <v>502</v>
      </c>
      <c r="I19">
        <v>1</v>
      </c>
      <c r="J19" s="14" t="s">
        <v>414</v>
      </c>
      <c r="K19" s="12">
        <v>45735</v>
      </c>
      <c r="L19" s="15">
        <v>0.41249999999999998</v>
      </c>
      <c r="M19">
        <v>79</v>
      </c>
    </row>
    <row r="20" spans="1:13" x14ac:dyDescent="0.25">
      <c r="A20" t="s">
        <v>73</v>
      </c>
      <c r="B20" t="s">
        <v>123</v>
      </c>
      <c r="C20" t="s">
        <v>237</v>
      </c>
      <c r="E20" s="14" t="s">
        <v>473</v>
      </c>
      <c r="F20" s="12">
        <v>45699</v>
      </c>
      <c r="G20" s="15">
        <v>0.3659722222222222</v>
      </c>
      <c r="H20" s="14" t="s">
        <v>503</v>
      </c>
      <c r="K20" s="12">
        <v>45699</v>
      </c>
      <c r="L20" s="15">
        <v>0.44861111111111113</v>
      </c>
      <c r="M20">
        <v>119</v>
      </c>
    </row>
    <row r="21" spans="1:13" x14ac:dyDescent="0.25">
      <c r="A21" t="s">
        <v>76</v>
      </c>
      <c r="B21" t="s">
        <v>126</v>
      </c>
      <c r="C21" t="s">
        <v>276</v>
      </c>
      <c r="E21" s="14" t="s">
        <v>473</v>
      </c>
      <c r="F21" s="12">
        <v>45673</v>
      </c>
      <c r="G21" s="15">
        <v>0.41319444444444442</v>
      </c>
      <c r="H21" s="14" t="s">
        <v>503</v>
      </c>
      <c r="K21" s="12">
        <v>45673</v>
      </c>
      <c r="L21" s="15">
        <v>0.49513888888888891</v>
      </c>
      <c r="M21">
        <v>118</v>
      </c>
    </row>
    <row r="22" spans="1:13" x14ac:dyDescent="0.25">
      <c r="A22" t="s">
        <v>42</v>
      </c>
      <c r="B22" t="s">
        <v>92</v>
      </c>
      <c r="C22" t="s">
        <v>246</v>
      </c>
      <c r="E22" s="14" t="s">
        <v>473</v>
      </c>
      <c r="F22" s="12">
        <v>45381</v>
      </c>
      <c r="G22" s="15">
        <v>0.34930555555555554</v>
      </c>
      <c r="H22" s="14" t="s">
        <v>503</v>
      </c>
      <c r="K22" s="12">
        <v>45381</v>
      </c>
      <c r="L22" s="15">
        <v>0.38124999999999998</v>
      </c>
      <c r="M22">
        <v>46</v>
      </c>
    </row>
    <row r="23" spans="1:13" x14ac:dyDescent="0.25">
      <c r="A23" t="s">
        <v>72</v>
      </c>
      <c r="B23" t="s">
        <v>122</v>
      </c>
      <c r="C23" t="s">
        <v>273</v>
      </c>
      <c r="E23" s="14" t="s">
        <v>473</v>
      </c>
      <c r="F23" s="12">
        <v>45430</v>
      </c>
      <c r="G23" s="15">
        <v>0.49513888888888891</v>
      </c>
      <c r="H23" s="14" t="s">
        <v>503</v>
      </c>
      <c r="K23" s="12">
        <v>45430</v>
      </c>
      <c r="L23" s="15">
        <v>0.54236111111111107</v>
      </c>
      <c r="M23">
        <v>68</v>
      </c>
    </row>
    <row r="24" spans="1:13" x14ac:dyDescent="0.25">
      <c r="A24" t="s">
        <v>78</v>
      </c>
      <c r="B24" t="s">
        <v>128</v>
      </c>
      <c r="C24" t="s">
        <v>278</v>
      </c>
      <c r="E24" s="14" t="s">
        <v>501</v>
      </c>
      <c r="F24" s="12">
        <v>45749</v>
      </c>
      <c r="G24" s="15">
        <v>0.50902777777777775</v>
      </c>
      <c r="H24" s="14" t="s">
        <v>502</v>
      </c>
      <c r="I24">
        <v>1</v>
      </c>
      <c r="J24" s="14" t="s">
        <v>414</v>
      </c>
      <c r="K24" s="12">
        <v>45749</v>
      </c>
      <c r="L24" s="15">
        <v>0.55486111111111114</v>
      </c>
      <c r="M24">
        <v>66</v>
      </c>
    </row>
    <row r="25" spans="1:13" x14ac:dyDescent="0.25">
      <c r="A25" t="s">
        <v>47</v>
      </c>
      <c r="B25" t="s">
        <v>97</v>
      </c>
      <c r="C25" t="s">
        <v>250</v>
      </c>
      <c r="E25" s="14" t="s">
        <v>501</v>
      </c>
      <c r="F25" s="12">
        <v>45635</v>
      </c>
      <c r="G25" s="15">
        <v>0.48819444444444443</v>
      </c>
      <c r="H25" s="14" t="s">
        <v>502</v>
      </c>
      <c r="I25">
        <v>1</v>
      </c>
      <c r="J25" t="s">
        <v>408</v>
      </c>
      <c r="K25" s="12">
        <v>45635</v>
      </c>
      <c r="L25" s="15">
        <v>0.54166666666666663</v>
      </c>
      <c r="M25">
        <v>77</v>
      </c>
    </row>
    <row r="26" spans="1:13" x14ac:dyDescent="0.25">
      <c r="A26" t="s">
        <v>78</v>
      </c>
      <c r="B26" t="s">
        <v>128</v>
      </c>
      <c r="C26" t="s">
        <v>278</v>
      </c>
      <c r="E26" s="14" t="s">
        <v>501</v>
      </c>
      <c r="F26" s="12">
        <v>45648</v>
      </c>
      <c r="G26" s="15">
        <v>0.41666666666666669</v>
      </c>
      <c r="H26" s="14" t="s">
        <v>502</v>
      </c>
      <c r="I26">
        <v>1</v>
      </c>
      <c r="J26" s="14" t="s">
        <v>414</v>
      </c>
      <c r="K26" s="12">
        <v>45648</v>
      </c>
      <c r="L26" s="15">
        <v>0.45069444444444445</v>
      </c>
      <c r="M26">
        <v>49</v>
      </c>
    </row>
    <row r="27" spans="1:13" x14ac:dyDescent="0.25">
      <c r="A27" t="s">
        <v>79</v>
      </c>
      <c r="B27" t="s">
        <v>129</v>
      </c>
      <c r="C27" t="s">
        <v>279</v>
      </c>
      <c r="E27" s="14" t="s">
        <v>501</v>
      </c>
      <c r="F27" s="12">
        <v>45525</v>
      </c>
      <c r="G27" s="15">
        <v>0.49930555555555556</v>
      </c>
      <c r="H27" s="14" t="s">
        <v>502</v>
      </c>
      <c r="I27">
        <v>1</v>
      </c>
      <c r="J27" s="14" t="s">
        <v>414</v>
      </c>
      <c r="K27" s="12">
        <v>45525</v>
      </c>
      <c r="L27" s="15">
        <v>0.52083333333333337</v>
      </c>
      <c r="M27">
        <v>31</v>
      </c>
    </row>
    <row r="28" spans="1:13" x14ac:dyDescent="0.25">
      <c r="A28" t="s">
        <v>40</v>
      </c>
      <c r="B28" t="s">
        <v>90</v>
      </c>
      <c r="C28" t="s">
        <v>244</v>
      </c>
      <c r="E28" s="14" t="s">
        <v>473</v>
      </c>
      <c r="F28" s="12">
        <v>45823</v>
      </c>
      <c r="G28" s="15">
        <v>0.38055555555555554</v>
      </c>
      <c r="H28" s="14" t="s">
        <v>503</v>
      </c>
      <c r="K28" s="12">
        <v>45823</v>
      </c>
      <c r="L28" s="15">
        <v>0.46180555555555558</v>
      </c>
      <c r="M28">
        <v>117</v>
      </c>
    </row>
    <row r="29" spans="1:13" x14ac:dyDescent="0.25">
      <c r="A29" t="s">
        <v>75</v>
      </c>
      <c r="B29" t="s">
        <v>125</v>
      </c>
      <c r="C29" t="s">
        <v>275</v>
      </c>
      <c r="E29" s="14" t="s">
        <v>473</v>
      </c>
      <c r="F29" s="12">
        <v>45899</v>
      </c>
      <c r="G29" s="15">
        <v>0.53194444444444444</v>
      </c>
      <c r="H29" s="14" t="s">
        <v>503</v>
      </c>
      <c r="K29" s="12">
        <v>45899</v>
      </c>
      <c r="L29" s="15">
        <v>0.59513888888888888</v>
      </c>
      <c r="M29">
        <v>91</v>
      </c>
    </row>
    <row r="30" spans="1:13" x14ac:dyDescent="0.25">
      <c r="A30" t="s">
        <v>80</v>
      </c>
      <c r="B30" t="s">
        <v>130</v>
      </c>
      <c r="C30" t="s">
        <v>280</v>
      </c>
      <c r="E30" s="14" t="s">
        <v>501</v>
      </c>
      <c r="F30" s="12">
        <v>45842</v>
      </c>
      <c r="G30" s="15">
        <v>0.49305555555555558</v>
      </c>
      <c r="H30" s="14" t="s">
        <v>502</v>
      </c>
      <c r="I30">
        <v>1</v>
      </c>
      <c r="J30" s="14" t="s">
        <v>414</v>
      </c>
      <c r="K30" s="12">
        <v>45842</v>
      </c>
      <c r="L30" s="15">
        <v>0.52638888888888891</v>
      </c>
      <c r="M30">
        <v>48</v>
      </c>
    </row>
    <row r="31" spans="1:13" x14ac:dyDescent="0.25">
      <c r="A31" t="s">
        <v>65</v>
      </c>
      <c r="B31" t="s">
        <v>115</v>
      </c>
      <c r="C31" t="s">
        <v>266</v>
      </c>
      <c r="E31" s="14" t="s">
        <v>473</v>
      </c>
      <c r="F31" s="12">
        <v>45792</v>
      </c>
      <c r="G31" s="15">
        <v>0.52777777777777779</v>
      </c>
      <c r="H31" s="14" t="s">
        <v>503</v>
      </c>
      <c r="K31" s="12">
        <v>45792</v>
      </c>
      <c r="L31" s="15">
        <v>0.57777777777777772</v>
      </c>
      <c r="M31">
        <v>72</v>
      </c>
    </row>
    <row r="32" spans="1:13" x14ac:dyDescent="0.25">
      <c r="A32" t="s">
        <v>82</v>
      </c>
      <c r="B32" t="s">
        <v>132</v>
      </c>
      <c r="C32" t="s">
        <v>281</v>
      </c>
      <c r="E32" s="14" t="s">
        <v>501</v>
      </c>
      <c r="F32" s="12">
        <v>45791</v>
      </c>
      <c r="G32" s="15">
        <v>0.41111111111111109</v>
      </c>
      <c r="H32" s="14" t="s">
        <v>502</v>
      </c>
      <c r="I32">
        <v>1</v>
      </c>
      <c r="J32" s="14" t="s">
        <v>414</v>
      </c>
      <c r="K32" s="12">
        <v>45791</v>
      </c>
      <c r="L32" s="15">
        <v>0.43680555555555556</v>
      </c>
      <c r="M32">
        <v>37</v>
      </c>
    </row>
    <row r="33" spans="1:13" x14ac:dyDescent="0.25">
      <c r="A33" t="s">
        <v>81</v>
      </c>
      <c r="B33" t="s">
        <v>131</v>
      </c>
      <c r="C33" t="s">
        <v>281</v>
      </c>
      <c r="E33" s="14" t="s">
        <v>501</v>
      </c>
      <c r="F33" s="12">
        <v>45809</v>
      </c>
      <c r="G33" s="15">
        <v>0.55069444444444449</v>
      </c>
      <c r="H33" s="14" t="s">
        <v>502</v>
      </c>
      <c r="I33">
        <v>1</v>
      </c>
      <c r="J33" s="14" t="s">
        <v>414</v>
      </c>
      <c r="K33" s="12">
        <v>45809</v>
      </c>
      <c r="L33" s="15">
        <v>0.6333333333333333</v>
      </c>
      <c r="M33">
        <v>119</v>
      </c>
    </row>
    <row r="34" spans="1:13" x14ac:dyDescent="0.25">
      <c r="A34" t="s">
        <v>82</v>
      </c>
      <c r="B34" t="s">
        <v>132</v>
      </c>
      <c r="C34" t="s">
        <v>281</v>
      </c>
      <c r="E34" s="14" t="s">
        <v>501</v>
      </c>
      <c r="F34" s="12">
        <v>45523</v>
      </c>
      <c r="G34" s="15">
        <v>0.44374999999999998</v>
      </c>
      <c r="H34" s="14" t="s">
        <v>502</v>
      </c>
      <c r="I34">
        <v>1</v>
      </c>
      <c r="J34" s="14" t="s">
        <v>414</v>
      </c>
      <c r="K34" s="12">
        <v>45523</v>
      </c>
      <c r="L34" s="15">
        <v>0.46319444444444446</v>
      </c>
      <c r="M34">
        <v>28</v>
      </c>
    </row>
    <row r="35" spans="1:13" x14ac:dyDescent="0.25">
      <c r="A35" t="s">
        <v>63</v>
      </c>
      <c r="B35" t="s">
        <v>113</v>
      </c>
      <c r="C35" t="s">
        <v>236</v>
      </c>
      <c r="E35" s="14" t="s">
        <v>501</v>
      </c>
      <c r="F35" s="12">
        <v>45922</v>
      </c>
      <c r="G35" s="15">
        <v>0.52152777777777781</v>
      </c>
      <c r="H35" s="14" t="s">
        <v>502</v>
      </c>
      <c r="I35">
        <v>1</v>
      </c>
      <c r="J35" s="14" t="s">
        <v>413</v>
      </c>
      <c r="K35" s="12">
        <v>45922</v>
      </c>
      <c r="L35" s="15">
        <v>0.5625</v>
      </c>
      <c r="M35">
        <v>59</v>
      </c>
    </row>
    <row r="36" spans="1:13" x14ac:dyDescent="0.25">
      <c r="A36" t="s">
        <v>53</v>
      </c>
      <c r="B36" t="s">
        <v>103</v>
      </c>
      <c r="C36" t="s">
        <v>235</v>
      </c>
      <c r="E36" s="14" t="s">
        <v>470</v>
      </c>
      <c r="F36" s="12">
        <v>45909</v>
      </c>
      <c r="G36" s="15">
        <v>0.36180555555555555</v>
      </c>
      <c r="H36" s="14" t="s">
        <v>505</v>
      </c>
      <c r="K36" s="12">
        <v>45909</v>
      </c>
      <c r="L36" s="15">
        <v>0.3840277777777778</v>
      </c>
      <c r="M36">
        <v>32</v>
      </c>
    </row>
    <row r="37" spans="1:13" x14ac:dyDescent="0.25">
      <c r="A37" t="s">
        <v>48</v>
      </c>
      <c r="B37" t="s">
        <v>98</v>
      </c>
      <c r="C37" t="s">
        <v>251</v>
      </c>
      <c r="E37" s="14" t="s">
        <v>501</v>
      </c>
      <c r="F37" s="12">
        <v>45772</v>
      </c>
      <c r="G37" s="15">
        <v>0.50694444444444442</v>
      </c>
      <c r="H37" s="14" t="s">
        <v>502</v>
      </c>
      <c r="I37">
        <v>1</v>
      </c>
      <c r="J37" t="s">
        <v>405</v>
      </c>
      <c r="K37" s="12">
        <v>45772</v>
      </c>
      <c r="L37" s="15">
        <v>0.56666666666666665</v>
      </c>
      <c r="M37">
        <v>86</v>
      </c>
    </row>
    <row r="38" spans="1:13" x14ac:dyDescent="0.25">
      <c r="A38" t="s">
        <v>46</v>
      </c>
      <c r="B38" t="s">
        <v>96</v>
      </c>
      <c r="C38" t="s">
        <v>249</v>
      </c>
      <c r="E38" s="14" t="s">
        <v>473</v>
      </c>
      <c r="F38" s="12">
        <v>45421</v>
      </c>
      <c r="G38" s="15">
        <v>0.48055555555555557</v>
      </c>
      <c r="H38" s="14" t="s">
        <v>503</v>
      </c>
      <c r="K38" s="12">
        <v>45421</v>
      </c>
      <c r="L38" s="15">
        <v>0.52708333333333335</v>
      </c>
      <c r="M38">
        <v>67</v>
      </c>
    </row>
    <row r="39" spans="1:13" x14ac:dyDescent="0.25">
      <c r="A39" t="s">
        <v>67</v>
      </c>
      <c r="B39" t="s">
        <v>117</v>
      </c>
      <c r="C39" t="s">
        <v>268</v>
      </c>
      <c r="E39" s="14" t="s">
        <v>473</v>
      </c>
      <c r="F39" s="12">
        <v>45833</v>
      </c>
      <c r="G39" s="15">
        <v>0.48055555555555557</v>
      </c>
      <c r="H39" s="14" t="s">
        <v>503</v>
      </c>
      <c r="K39" s="12">
        <v>45833</v>
      </c>
      <c r="L39" s="15">
        <v>0.49583333333333335</v>
      </c>
      <c r="M39">
        <v>22</v>
      </c>
    </row>
    <row r="40" spans="1:13" x14ac:dyDescent="0.25">
      <c r="A40" t="s">
        <v>49</v>
      </c>
      <c r="B40" t="s">
        <v>99</v>
      </c>
      <c r="C40" t="s">
        <v>252</v>
      </c>
      <c r="E40" s="14" t="s">
        <v>501</v>
      </c>
      <c r="F40" s="12">
        <v>45439</v>
      </c>
      <c r="G40" s="15">
        <v>0.5</v>
      </c>
      <c r="H40" s="14" t="s">
        <v>502</v>
      </c>
      <c r="I40">
        <v>1</v>
      </c>
      <c r="J40" t="s">
        <v>406</v>
      </c>
      <c r="K40" s="12">
        <v>45439</v>
      </c>
      <c r="L40" s="15">
        <v>0.51180555555555551</v>
      </c>
      <c r="M40">
        <v>17</v>
      </c>
    </row>
    <row r="41" spans="1:13" x14ac:dyDescent="0.25">
      <c r="A41" t="s">
        <v>34</v>
      </c>
      <c r="B41" t="s">
        <v>84</v>
      </c>
      <c r="C41" t="s">
        <v>238</v>
      </c>
      <c r="E41" t="s">
        <v>464</v>
      </c>
      <c r="F41" s="12">
        <v>45945</v>
      </c>
      <c r="G41" s="15">
        <v>0.46805555555555556</v>
      </c>
      <c r="H41" t="s">
        <v>504</v>
      </c>
      <c r="K41" s="12">
        <v>45945</v>
      </c>
      <c r="L41" s="15">
        <v>0.52083333333333337</v>
      </c>
      <c r="M41">
        <v>76</v>
      </c>
    </row>
    <row r="42" spans="1:13" x14ac:dyDescent="0.25">
      <c r="A42" t="s">
        <v>52</v>
      </c>
      <c r="B42" t="s">
        <v>102</v>
      </c>
      <c r="C42" t="s">
        <v>255</v>
      </c>
      <c r="E42" t="s">
        <v>506</v>
      </c>
      <c r="F42" s="12">
        <v>45755</v>
      </c>
      <c r="G42" s="15">
        <v>0.48194444444444445</v>
      </c>
      <c r="H42" s="14" t="s">
        <v>507</v>
      </c>
      <c r="K42" s="12">
        <v>45755</v>
      </c>
      <c r="L42" s="15">
        <v>0.5395833333333333</v>
      </c>
      <c r="M42">
        <v>83</v>
      </c>
    </row>
    <row r="43" spans="1:13" x14ac:dyDescent="0.25">
      <c r="A43" t="s">
        <v>50</v>
      </c>
      <c r="B43" t="s">
        <v>100</v>
      </c>
      <c r="C43" t="s">
        <v>253</v>
      </c>
      <c r="E43" s="14" t="s">
        <v>501</v>
      </c>
      <c r="F43" s="12">
        <v>45669</v>
      </c>
      <c r="G43" s="15">
        <v>0.42222222222222222</v>
      </c>
      <c r="H43" s="14" t="s">
        <v>502</v>
      </c>
      <c r="I43">
        <v>1</v>
      </c>
      <c r="J43" t="s">
        <v>407</v>
      </c>
      <c r="K43" s="12">
        <v>45669</v>
      </c>
      <c r="L43" s="15">
        <v>0.45277777777777778</v>
      </c>
      <c r="M43">
        <v>44</v>
      </c>
    </row>
    <row r="44" spans="1:13" x14ac:dyDescent="0.25">
      <c r="A44" t="s">
        <v>57</v>
      </c>
      <c r="B44" t="s">
        <v>107</v>
      </c>
      <c r="C44" t="s">
        <v>259</v>
      </c>
      <c r="E44" s="14" t="s">
        <v>473</v>
      </c>
      <c r="F44" s="12">
        <v>45700</v>
      </c>
      <c r="G44" s="15">
        <v>0.5708333333333333</v>
      </c>
      <c r="H44" s="14" t="s">
        <v>503</v>
      </c>
      <c r="K44" s="12">
        <v>45700</v>
      </c>
      <c r="L44" s="15">
        <v>0.64097222222222228</v>
      </c>
      <c r="M44">
        <v>101</v>
      </c>
    </row>
    <row r="45" spans="1:13" x14ac:dyDescent="0.25">
      <c r="A45" t="s">
        <v>63</v>
      </c>
      <c r="B45" t="s">
        <v>113</v>
      </c>
      <c r="C45" t="s">
        <v>236</v>
      </c>
      <c r="E45" s="14" t="s">
        <v>501</v>
      </c>
      <c r="F45" s="12">
        <v>45639</v>
      </c>
      <c r="G45" s="15">
        <v>0.59027777777777779</v>
      </c>
      <c r="H45" s="14" t="s">
        <v>502</v>
      </c>
      <c r="I45">
        <v>1</v>
      </c>
      <c r="J45" s="14" t="s">
        <v>413</v>
      </c>
      <c r="K45" s="12">
        <v>45639</v>
      </c>
      <c r="L45" s="15">
        <v>0.65277777777777779</v>
      </c>
      <c r="M45">
        <v>90</v>
      </c>
    </row>
    <row r="46" spans="1:13" x14ac:dyDescent="0.25">
      <c r="A46" t="s">
        <v>64</v>
      </c>
      <c r="B46" t="s">
        <v>114</v>
      </c>
      <c r="C46" t="s">
        <v>265</v>
      </c>
      <c r="E46" s="14" t="s">
        <v>501</v>
      </c>
      <c r="F46" s="12">
        <v>45600</v>
      </c>
      <c r="G46" s="15">
        <v>0.43055555555555558</v>
      </c>
      <c r="H46" s="14" t="s">
        <v>502</v>
      </c>
      <c r="I46">
        <v>1</v>
      </c>
      <c r="J46" s="14" t="s">
        <v>413</v>
      </c>
      <c r="K46" s="12">
        <v>45600</v>
      </c>
      <c r="L46" s="15">
        <v>0.47986111111111113</v>
      </c>
      <c r="M46">
        <v>71</v>
      </c>
    </row>
    <row r="47" spans="1:13" x14ac:dyDescent="0.25">
      <c r="A47" t="s">
        <v>66</v>
      </c>
      <c r="B47" t="s">
        <v>116</v>
      </c>
      <c r="C47" t="s">
        <v>267</v>
      </c>
      <c r="E47" s="14" t="s">
        <v>501</v>
      </c>
      <c r="F47" s="12">
        <v>45831</v>
      </c>
      <c r="G47" s="15">
        <v>0.35069444444444442</v>
      </c>
      <c r="H47" s="14" t="s">
        <v>502</v>
      </c>
      <c r="I47">
        <v>1</v>
      </c>
      <c r="J47" s="14" t="s">
        <v>413</v>
      </c>
      <c r="K47" s="12">
        <v>45831</v>
      </c>
      <c r="L47" s="15">
        <v>0.41041666666666665</v>
      </c>
      <c r="M47">
        <v>86</v>
      </c>
    </row>
    <row r="48" spans="1:13" x14ac:dyDescent="0.25">
      <c r="A48" t="s">
        <v>41</v>
      </c>
      <c r="B48" t="s">
        <v>91</v>
      </c>
      <c r="C48" t="s">
        <v>245</v>
      </c>
      <c r="E48" s="14" t="s">
        <v>473</v>
      </c>
      <c r="F48" s="12">
        <v>45828</v>
      </c>
      <c r="G48" s="15">
        <v>0.39791666666666664</v>
      </c>
      <c r="H48" s="14" t="s">
        <v>503</v>
      </c>
      <c r="K48" s="12">
        <v>45828</v>
      </c>
      <c r="L48" s="15">
        <v>0.41249999999999998</v>
      </c>
      <c r="M48">
        <v>21</v>
      </c>
    </row>
    <row r="49" spans="1:13" x14ac:dyDescent="0.25">
      <c r="A49" t="s">
        <v>57</v>
      </c>
      <c r="B49" t="s">
        <v>107</v>
      </c>
      <c r="C49" t="s">
        <v>259</v>
      </c>
      <c r="E49" s="14" t="s">
        <v>473</v>
      </c>
      <c r="F49" s="12">
        <v>45691</v>
      </c>
      <c r="G49" s="15">
        <v>0.40833333333333333</v>
      </c>
      <c r="H49" s="14" t="s">
        <v>503</v>
      </c>
      <c r="K49" s="12">
        <v>45691</v>
      </c>
      <c r="L49" s="15">
        <v>0.45902777777777776</v>
      </c>
      <c r="M49">
        <v>73</v>
      </c>
    </row>
    <row r="50" spans="1:13" x14ac:dyDescent="0.25">
      <c r="A50" t="s">
        <v>53</v>
      </c>
      <c r="B50" t="s">
        <v>103</v>
      </c>
      <c r="C50" t="s">
        <v>235</v>
      </c>
      <c r="E50" s="14" t="s">
        <v>501</v>
      </c>
      <c r="F50" s="12">
        <v>45542</v>
      </c>
      <c r="G50" s="15">
        <v>0.50624999999999998</v>
      </c>
      <c r="H50" s="14" t="s">
        <v>502</v>
      </c>
      <c r="I50">
        <v>1</v>
      </c>
      <c r="J50" t="s">
        <v>408</v>
      </c>
      <c r="K50" s="12">
        <v>45542</v>
      </c>
      <c r="L50" s="15">
        <v>0.53541666666666665</v>
      </c>
      <c r="M50">
        <v>42</v>
      </c>
    </row>
    <row r="51" spans="1:13" x14ac:dyDescent="0.25">
      <c r="A51" t="s">
        <v>54</v>
      </c>
      <c r="B51" t="s">
        <v>104</v>
      </c>
      <c r="C51" t="s">
        <v>256</v>
      </c>
      <c r="E51" s="14" t="s">
        <v>501</v>
      </c>
      <c r="F51" s="12">
        <v>45744</v>
      </c>
      <c r="G51" s="15">
        <v>0.43194444444444446</v>
      </c>
      <c r="H51" s="14" t="s">
        <v>502</v>
      </c>
      <c r="I51">
        <v>1</v>
      </c>
      <c r="J51" t="s">
        <v>409</v>
      </c>
      <c r="K51" s="12">
        <v>45744</v>
      </c>
      <c r="L51" s="15">
        <v>0.50902777777777775</v>
      </c>
      <c r="M51">
        <v>111</v>
      </c>
    </row>
    <row r="52" spans="1:13" x14ac:dyDescent="0.25">
      <c r="A52" t="s">
        <v>67</v>
      </c>
      <c r="B52" t="s">
        <v>117</v>
      </c>
      <c r="C52" t="s">
        <v>268</v>
      </c>
      <c r="E52" s="14" t="s">
        <v>506</v>
      </c>
      <c r="F52" s="12">
        <v>45409</v>
      </c>
      <c r="G52" s="15">
        <v>0.45763888888888887</v>
      </c>
      <c r="H52" s="14" t="s">
        <v>507</v>
      </c>
      <c r="K52" s="12">
        <v>45409</v>
      </c>
      <c r="L52" s="15">
        <v>0.48749999999999999</v>
      </c>
      <c r="M52">
        <v>43</v>
      </c>
    </row>
    <row r="53" spans="1:13" x14ac:dyDescent="0.25">
      <c r="A53" t="s">
        <v>59</v>
      </c>
      <c r="B53" t="s">
        <v>109</v>
      </c>
      <c r="C53" t="s">
        <v>261</v>
      </c>
      <c r="E53" s="14" t="s">
        <v>501</v>
      </c>
      <c r="F53" s="12">
        <v>45690</v>
      </c>
      <c r="G53" s="15">
        <v>0.47638888888888886</v>
      </c>
      <c r="H53" s="14" t="s">
        <v>502</v>
      </c>
      <c r="I53">
        <v>1</v>
      </c>
      <c r="J53" t="s">
        <v>410</v>
      </c>
      <c r="K53" s="12">
        <v>45690</v>
      </c>
      <c r="L53" s="15">
        <v>0.54861111111111116</v>
      </c>
      <c r="M53">
        <v>104</v>
      </c>
    </row>
    <row r="54" spans="1:13" x14ac:dyDescent="0.25">
      <c r="A54" t="s">
        <v>59</v>
      </c>
      <c r="B54" t="s">
        <v>109</v>
      </c>
      <c r="C54" t="s">
        <v>261</v>
      </c>
      <c r="E54" s="14" t="s">
        <v>501</v>
      </c>
      <c r="F54" s="12">
        <v>45754</v>
      </c>
      <c r="G54" s="15">
        <v>0.6069444444444444</v>
      </c>
      <c r="H54" s="14" t="s">
        <v>502</v>
      </c>
      <c r="I54">
        <v>1</v>
      </c>
      <c r="J54" t="s">
        <v>411</v>
      </c>
      <c r="K54" s="12">
        <v>45754</v>
      </c>
      <c r="L54" s="15">
        <v>0.66874999999999996</v>
      </c>
      <c r="M54">
        <v>89</v>
      </c>
    </row>
    <row r="55" spans="1:13" x14ac:dyDescent="0.25">
      <c r="A55" t="s">
        <v>41</v>
      </c>
      <c r="B55" t="s">
        <v>91</v>
      </c>
      <c r="C55" t="s">
        <v>245</v>
      </c>
      <c r="E55" s="14" t="s">
        <v>473</v>
      </c>
      <c r="F55" s="12">
        <v>45840</v>
      </c>
      <c r="G55" s="15">
        <v>0.5708333333333333</v>
      </c>
      <c r="H55" s="14" t="s">
        <v>503</v>
      </c>
      <c r="K55" s="12">
        <v>45840</v>
      </c>
      <c r="L55" s="15">
        <v>0.59097222222222223</v>
      </c>
      <c r="M55">
        <v>29</v>
      </c>
    </row>
    <row r="56" spans="1:13" x14ac:dyDescent="0.25">
      <c r="A56" t="s">
        <v>62</v>
      </c>
      <c r="B56" t="s">
        <v>112</v>
      </c>
      <c r="C56" t="s">
        <v>264</v>
      </c>
      <c r="E56" s="14" t="s">
        <v>506</v>
      </c>
      <c r="F56" s="12">
        <v>45618</v>
      </c>
      <c r="G56" s="15">
        <v>0.60555555555555551</v>
      </c>
      <c r="H56" t="s">
        <v>507</v>
      </c>
      <c r="K56" s="12">
        <v>45618</v>
      </c>
      <c r="L56" s="15">
        <v>0.64861111111111114</v>
      </c>
      <c r="M56">
        <v>62</v>
      </c>
    </row>
    <row r="57" spans="1:13" x14ac:dyDescent="0.25">
      <c r="A57" t="s">
        <v>67</v>
      </c>
      <c r="B57" t="s">
        <v>117</v>
      </c>
      <c r="C57" t="s">
        <v>268</v>
      </c>
      <c r="E57" s="14" t="s">
        <v>501</v>
      </c>
      <c r="F57" s="12">
        <v>45383</v>
      </c>
      <c r="G57" s="15">
        <v>0.47291666666666665</v>
      </c>
      <c r="H57" s="14" t="s">
        <v>502</v>
      </c>
      <c r="I57">
        <v>1</v>
      </c>
      <c r="J57" s="14" t="s">
        <v>413</v>
      </c>
      <c r="K57" s="12">
        <v>45383</v>
      </c>
      <c r="L57" s="15">
        <v>0.53541666666666665</v>
      </c>
      <c r="M57">
        <v>90</v>
      </c>
    </row>
    <row r="58" spans="1:13" x14ac:dyDescent="0.25">
      <c r="A58" t="s">
        <v>34</v>
      </c>
      <c r="B58" t="s">
        <v>84</v>
      </c>
      <c r="C58" t="s">
        <v>238</v>
      </c>
      <c r="E58" s="14" t="s">
        <v>473</v>
      </c>
      <c r="F58" s="12">
        <v>45675</v>
      </c>
      <c r="G58" s="15">
        <v>0.53749999999999998</v>
      </c>
      <c r="H58" s="14" t="s">
        <v>503</v>
      </c>
      <c r="K58" s="12">
        <v>45675</v>
      </c>
      <c r="L58" s="15">
        <v>0.60763888888888884</v>
      </c>
      <c r="M58">
        <v>101</v>
      </c>
    </row>
    <row r="59" spans="1:13" x14ac:dyDescent="0.25">
      <c r="A59" t="s">
        <v>58</v>
      </c>
      <c r="B59" t="s">
        <v>108</v>
      </c>
      <c r="C59" t="s">
        <v>260</v>
      </c>
      <c r="E59" s="14" t="s">
        <v>473</v>
      </c>
      <c r="F59" s="12">
        <v>45559</v>
      </c>
      <c r="G59" s="15">
        <v>0.35972222222222222</v>
      </c>
      <c r="H59" s="14" t="s">
        <v>503</v>
      </c>
      <c r="K59" s="12">
        <v>45559</v>
      </c>
      <c r="L59" s="15">
        <v>0.42222222222222222</v>
      </c>
      <c r="M59">
        <v>90</v>
      </c>
    </row>
    <row r="60" spans="1:13" x14ac:dyDescent="0.25">
      <c r="A60" t="s">
        <v>60</v>
      </c>
      <c r="B60" t="s">
        <v>110</v>
      </c>
      <c r="C60" t="s">
        <v>262</v>
      </c>
      <c r="E60" s="14" t="s">
        <v>501</v>
      </c>
      <c r="F60" s="12">
        <v>45357</v>
      </c>
      <c r="G60" s="15">
        <v>0.5180555555555556</v>
      </c>
      <c r="H60" s="14" t="s">
        <v>502</v>
      </c>
      <c r="I60">
        <v>1</v>
      </c>
      <c r="J60" t="s">
        <v>412</v>
      </c>
      <c r="K60" s="12">
        <v>45357</v>
      </c>
      <c r="L60" s="15">
        <v>0.6</v>
      </c>
      <c r="M60">
        <v>118</v>
      </c>
    </row>
    <row r="61" spans="1:13" x14ac:dyDescent="0.25">
      <c r="A61" t="s">
        <v>69</v>
      </c>
      <c r="B61" t="s">
        <v>119</v>
      </c>
      <c r="C61" t="s">
        <v>270</v>
      </c>
      <c r="E61" s="14" t="s">
        <v>473</v>
      </c>
      <c r="F61" s="12">
        <v>45398</v>
      </c>
      <c r="G61" s="15">
        <v>0.45624999999999999</v>
      </c>
      <c r="H61" s="14" t="s">
        <v>503</v>
      </c>
      <c r="K61" s="12">
        <v>45398</v>
      </c>
      <c r="L61" s="15">
        <v>0.51388888888888884</v>
      </c>
      <c r="M61">
        <v>83</v>
      </c>
    </row>
    <row r="62" spans="1:13" x14ac:dyDescent="0.25">
      <c r="A62" t="s">
        <v>67</v>
      </c>
      <c r="B62" t="s">
        <v>117</v>
      </c>
      <c r="C62" t="s">
        <v>268</v>
      </c>
      <c r="E62" s="14" t="s">
        <v>501</v>
      </c>
      <c r="F62" s="12">
        <v>45545</v>
      </c>
      <c r="G62" s="15">
        <v>0.40138888888888891</v>
      </c>
      <c r="H62" s="14" t="s">
        <v>502</v>
      </c>
      <c r="I62">
        <v>1</v>
      </c>
      <c r="J62" s="14" t="s">
        <v>413</v>
      </c>
      <c r="K62" s="12">
        <v>45545</v>
      </c>
      <c r="L62" s="15">
        <v>0.43055555555555558</v>
      </c>
      <c r="M62">
        <v>42</v>
      </c>
    </row>
    <row r="63" spans="1:13" x14ac:dyDescent="0.25">
      <c r="A63" t="s">
        <v>54</v>
      </c>
      <c r="B63" t="s">
        <v>104</v>
      </c>
      <c r="C63" t="s">
        <v>256</v>
      </c>
      <c r="E63" s="14" t="s">
        <v>473</v>
      </c>
      <c r="F63" s="12">
        <v>45368</v>
      </c>
      <c r="G63" s="15">
        <v>0.4826388888888889</v>
      </c>
      <c r="H63" s="14" t="s">
        <v>503</v>
      </c>
      <c r="K63" s="12">
        <v>45368</v>
      </c>
      <c r="L63" s="15">
        <v>0.56597222222222221</v>
      </c>
      <c r="M63">
        <v>120</v>
      </c>
    </row>
    <row r="64" spans="1:13" x14ac:dyDescent="0.25">
      <c r="A64" t="s">
        <v>39</v>
      </c>
      <c r="B64" t="s">
        <v>89</v>
      </c>
      <c r="C64" t="s">
        <v>243</v>
      </c>
      <c r="E64" s="14" t="s">
        <v>473</v>
      </c>
      <c r="F64" s="12">
        <v>45799</v>
      </c>
      <c r="G64" s="15">
        <v>0.46180555555555558</v>
      </c>
      <c r="H64" s="14" t="s">
        <v>503</v>
      </c>
      <c r="K64" s="12">
        <v>45799</v>
      </c>
      <c r="L64" s="15">
        <v>0.52847222222222223</v>
      </c>
      <c r="M64">
        <v>96</v>
      </c>
    </row>
    <row r="65" spans="1:13" x14ac:dyDescent="0.25">
      <c r="A65" t="s">
        <v>78</v>
      </c>
      <c r="B65" t="s">
        <v>128</v>
      </c>
      <c r="C65" t="s">
        <v>278</v>
      </c>
      <c r="E65" s="14" t="s">
        <v>473</v>
      </c>
      <c r="F65" s="12">
        <v>45512</v>
      </c>
      <c r="G65" s="15">
        <v>0.48749999999999999</v>
      </c>
      <c r="H65" s="14" t="s">
        <v>503</v>
      </c>
      <c r="K65" s="12">
        <v>45512</v>
      </c>
      <c r="L65" s="15">
        <v>0.5131944444444444</v>
      </c>
      <c r="M65">
        <v>37</v>
      </c>
    </row>
    <row r="66" spans="1:13" x14ac:dyDescent="0.25">
      <c r="A66" t="s">
        <v>68</v>
      </c>
      <c r="B66" t="s">
        <v>118</v>
      </c>
      <c r="C66" t="s">
        <v>269</v>
      </c>
      <c r="E66" s="14" t="s">
        <v>501</v>
      </c>
      <c r="F66" s="12">
        <v>45486</v>
      </c>
      <c r="G66" s="15">
        <v>0.40138888888888891</v>
      </c>
      <c r="H66" s="14" t="s">
        <v>502</v>
      </c>
      <c r="I66">
        <v>1</v>
      </c>
      <c r="J66" s="14" t="s">
        <v>413</v>
      </c>
      <c r="K66" s="12">
        <v>45486</v>
      </c>
      <c r="L66" s="15">
        <v>0.44861111111111113</v>
      </c>
      <c r="M66">
        <v>68</v>
      </c>
    </row>
    <row r="67" spans="1:13" x14ac:dyDescent="0.25">
      <c r="A67" t="s">
        <v>60</v>
      </c>
      <c r="B67" t="s">
        <v>110</v>
      </c>
      <c r="C67" t="s">
        <v>262</v>
      </c>
      <c r="E67" s="14" t="s">
        <v>473</v>
      </c>
      <c r="F67" s="12">
        <v>45962</v>
      </c>
      <c r="G67" s="15">
        <v>0.4284722222222222</v>
      </c>
      <c r="H67" s="14" t="s">
        <v>503</v>
      </c>
      <c r="K67" s="12">
        <v>45962</v>
      </c>
      <c r="L67" s="15">
        <v>0.46736111111111112</v>
      </c>
      <c r="M67">
        <v>56</v>
      </c>
    </row>
    <row r="68" spans="1:13" x14ac:dyDescent="0.25">
      <c r="A68" t="s">
        <v>61</v>
      </c>
      <c r="B68" t="s">
        <v>111</v>
      </c>
      <c r="C68" t="s">
        <v>263</v>
      </c>
      <c r="E68" s="14" t="s">
        <v>501</v>
      </c>
      <c r="F68" s="12">
        <v>45373</v>
      </c>
      <c r="G68" s="15">
        <v>0.3659722222222222</v>
      </c>
      <c r="H68" s="14" t="s">
        <v>502</v>
      </c>
      <c r="I68">
        <v>1</v>
      </c>
      <c r="J68" t="s">
        <v>409</v>
      </c>
      <c r="K68" s="12">
        <v>45373</v>
      </c>
      <c r="L68" s="15">
        <v>0.40208333333333335</v>
      </c>
      <c r="M68">
        <v>52</v>
      </c>
    </row>
    <row r="69" spans="1:13" x14ac:dyDescent="0.25">
      <c r="A69" t="s">
        <v>69</v>
      </c>
      <c r="B69" t="s">
        <v>119</v>
      </c>
      <c r="C69" t="s">
        <v>270</v>
      </c>
      <c r="E69" s="14" t="s">
        <v>501</v>
      </c>
      <c r="F69" s="12">
        <v>45550</v>
      </c>
      <c r="G69" s="15">
        <v>0.4236111111111111</v>
      </c>
      <c r="H69" s="14" t="s">
        <v>502</v>
      </c>
      <c r="I69">
        <v>1</v>
      </c>
      <c r="J69" s="14" t="s">
        <v>413</v>
      </c>
      <c r="K69" s="12">
        <v>45550</v>
      </c>
      <c r="L69" s="15">
        <v>0.4375</v>
      </c>
      <c r="M69">
        <v>20</v>
      </c>
    </row>
    <row r="70" spans="1:13" x14ac:dyDescent="0.25">
      <c r="A70" t="s">
        <v>36</v>
      </c>
      <c r="B70" t="s">
        <v>86</v>
      </c>
      <c r="C70" t="s">
        <v>240</v>
      </c>
      <c r="E70" s="14" t="s">
        <v>501</v>
      </c>
      <c r="F70" s="12">
        <v>45922</v>
      </c>
      <c r="G70" s="15">
        <v>0.43680555555555556</v>
      </c>
      <c r="H70" s="14" t="s">
        <v>502</v>
      </c>
      <c r="I70">
        <v>1</v>
      </c>
      <c r="J70" t="s">
        <v>402</v>
      </c>
      <c r="K70" s="12">
        <v>45922</v>
      </c>
      <c r="L70" s="15">
        <v>0.50902777777777775</v>
      </c>
      <c r="M70">
        <v>104</v>
      </c>
    </row>
    <row r="71" spans="1:13" x14ac:dyDescent="0.25">
      <c r="A71" t="s">
        <v>49</v>
      </c>
      <c r="B71" t="s">
        <v>99</v>
      </c>
      <c r="C71" t="s">
        <v>252</v>
      </c>
      <c r="E71" s="14" t="s">
        <v>473</v>
      </c>
      <c r="F71" s="12">
        <v>45704</v>
      </c>
      <c r="G71" s="15">
        <v>0.43263888888888891</v>
      </c>
      <c r="H71" s="14" t="s">
        <v>503</v>
      </c>
      <c r="K71" s="12">
        <v>45704</v>
      </c>
      <c r="L71" s="15">
        <v>0.49583333333333335</v>
      </c>
      <c r="M71">
        <v>91</v>
      </c>
    </row>
    <row r="72" spans="1:13" x14ac:dyDescent="0.25">
      <c r="A72" t="s">
        <v>68</v>
      </c>
      <c r="B72" t="s">
        <v>118</v>
      </c>
      <c r="C72" t="s">
        <v>269</v>
      </c>
      <c r="E72" s="14" t="s">
        <v>473</v>
      </c>
      <c r="F72" s="12">
        <v>45366</v>
      </c>
      <c r="G72" s="15">
        <v>0.51666666666666672</v>
      </c>
      <c r="H72" s="14" t="s">
        <v>503</v>
      </c>
      <c r="K72" s="12">
        <v>45366</v>
      </c>
      <c r="L72" s="15">
        <v>0.54374999999999996</v>
      </c>
      <c r="M72">
        <v>39</v>
      </c>
    </row>
    <row r="73" spans="1:13" x14ac:dyDescent="0.25">
      <c r="A73" t="s">
        <v>37</v>
      </c>
      <c r="B73" t="s">
        <v>87</v>
      </c>
      <c r="C73" t="s">
        <v>241</v>
      </c>
      <c r="E73" s="14" t="s">
        <v>501</v>
      </c>
      <c r="F73" s="12">
        <v>45397</v>
      </c>
      <c r="G73" s="15">
        <v>0.60138888888888886</v>
      </c>
      <c r="H73" s="14" t="s">
        <v>502</v>
      </c>
      <c r="I73">
        <v>1</v>
      </c>
      <c r="J73" t="s">
        <v>403</v>
      </c>
      <c r="K73" s="12">
        <v>45397</v>
      </c>
      <c r="L73" s="15">
        <v>0.61388888888888893</v>
      </c>
      <c r="M73">
        <v>18</v>
      </c>
    </row>
    <row r="74" spans="1:13" x14ac:dyDescent="0.25">
      <c r="A74" t="s">
        <v>77</v>
      </c>
      <c r="B74" t="s">
        <v>127</v>
      </c>
      <c r="C74" t="s">
        <v>277</v>
      </c>
      <c r="E74" s="14" t="s">
        <v>473</v>
      </c>
      <c r="F74" s="12">
        <v>45843</v>
      </c>
      <c r="G74" s="15">
        <v>0.5625</v>
      </c>
      <c r="H74" s="14" t="s">
        <v>503</v>
      </c>
      <c r="K74" s="12">
        <v>45843</v>
      </c>
      <c r="L74" s="15">
        <v>0.63611111111111107</v>
      </c>
      <c r="M74">
        <v>106</v>
      </c>
    </row>
    <row r="75" spans="1:13" x14ac:dyDescent="0.25">
      <c r="A75" t="s">
        <v>38</v>
      </c>
      <c r="B75" t="s">
        <v>88</v>
      </c>
      <c r="C75" t="s">
        <v>242</v>
      </c>
      <c r="E75" s="14" t="s">
        <v>501</v>
      </c>
      <c r="F75" s="12">
        <v>45641</v>
      </c>
      <c r="G75" s="15">
        <v>0.49305555555555558</v>
      </c>
      <c r="H75" s="14" t="s">
        <v>502</v>
      </c>
      <c r="I75">
        <v>1</v>
      </c>
      <c r="J75" t="s">
        <v>404</v>
      </c>
      <c r="K75" s="12">
        <v>45641</v>
      </c>
      <c r="L75" s="15">
        <v>0.52500000000000002</v>
      </c>
      <c r="M75">
        <v>46</v>
      </c>
    </row>
    <row r="76" spans="1:13" x14ac:dyDescent="0.25">
      <c r="A76" t="s">
        <v>58</v>
      </c>
      <c r="B76" t="s">
        <v>108</v>
      </c>
      <c r="C76" t="s">
        <v>260</v>
      </c>
      <c r="E76" s="14" t="s">
        <v>473</v>
      </c>
      <c r="F76" s="12">
        <v>45605</v>
      </c>
      <c r="G76" s="15">
        <v>0.44166666666666665</v>
      </c>
      <c r="H76" s="14" t="s">
        <v>503</v>
      </c>
      <c r="K76" s="12">
        <v>45605</v>
      </c>
      <c r="L76" s="15">
        <v>0.51041666666666663</v>
      </c>
      <c r="M76">
        <v>99</v>
      </c>
    </row>
    <row r="77" spans="1:13" x14ac:dyDescent="0.25">
      <c r="A77" t="s">
        <v>69</v>
      </c>
      <c r="B77" t="s">
        <v>119</v>
      </c>
      <c r="C77" t="s">
        <v>270</v>
      </c>
      <c r="E77" s="14" t="s">
        <v>501</v>
      </c>
      <c r="F77" s="12">
        <v>45744</v>
      </c>
      <c r="G77" s="15">
        <v>0.45277777777777778</v>
      </c>
      <c r="H77" s="14" t="s">
        <v>502</v>
      </c>
      <c r="I77">
        <v>1</v>
      </c>
      <c r="J77" s="14" t="s">
        <v>413</v>
      </c>
      <c r="K77" s="12">
        <v>45744</v>
      </c>
      <c r="L77" s="15">
        <v>0.46527777777777779</v>
      </c>
      <c r="M77">
        <v>18</v>
      </c>
    </row>
    <row r="78" spans="1:13" x14ac:dyDescent="0.25">
      <c r="A78" t="s">
        <v>80</v>
      </c>
      <c r="B78" t="s">
        <v>130</v>
      </c>
      <c r="C78" t="s">
        <v>280</v>
      </c>
      <c r="E78" s="14" t="s">
        <v>473</v>
      </c>
      <c r="F78" s="12">
        <v>45919</v>
      </c>
      <c r="G78" s="15">
        <v>0.45069444444444445</v>
      </c>
      <c r="H78" s="14" t="s">
        <v>503</v>
      </c>
      <c r="K78" s="12">
        <v>45919</v>
      </c>
      <c r="L78" s="15">
        <v>0.49236111111111114</v>
      </c>
      <c r="M78">
        <v>60</v>
      </c>
    </row>
    <row r="79" spans="1:13" x14ac:dyDescent="0.25">
      <c r="A79" t="s">
        <v>38</v>
      </c>
      <c r="B79" t="s">
        <v>88</v>
      </c>
      <c r="C79" t="s">
        <v>242</v>
      </c>
      <c r="E79" s="14" t="s">
        <v>501</v>
      </c>
      <c r="F79" s="12">
        <v>45610</v>
      </c>
      <c r="G79" s="15">
        <v>0.375</v>
      </c>
      <c r="H79" s="14" t="s">
        <v>502</v>
      </c>
      <c r="I79">
        <v>1</v>
      </c>
      <c r="J79" t="s">
        <v>401</v>
      </c>
      <c r="K79" s="12">
        <v>45610</v>
      </c>
      <c r="L79" s="15">
        <v>0.43472222222222223</v>
      </c>
      <c r="M79">
        <v>86</v>
      </c>
    </row>
    <row r="80" spans="1:13" x14ac:dyDescent="0.25">
      <c r="A80" t="s">
        <v>79</v>
      </c>
      <c r="B80" t="s">
        <v>129</v>
      </c>
      <c r="C80" t="s">
        <v>279</v>
      </c>
      <c r="E80" s="14" t="s">
        <v>470</v>
      </c>
      <c r="F80" s="12">
        <v>45553</v>
      </c>
      <c r="G80" s="15">
        <v>0.44513888888888886</v>
      </c>
      <c r="H80" s="14" t="s">
        <v>505</v>
      </c>
      <c r="K80" s="12">
        <v>45553</v>
      </c>
      <c r="L80" s="15">
        <v>0.46597222222222223</v>
      </c>
      <c r="M80">
        <v>30</v>
      </c>
    </row>
    <row r="81" spans="1:13" x14ac:dyDescent="0.25">
      <c r="A81" t="s">
        <v>70</v>
      </c>
      <c r="B81" t="s">
        <v>120</v>
      </c>
      <c r="C81" t="s">
        <v>271</v>
      </c>
      <c r="E81" s="14" t="s">
        <v>501</v>
      </c>
      <c r="F81" s="12">
        <v>45627</v>
      </c>
      <c r="G81" s="15">
        <v>0.34652777777777777</v>
      </c>
      <c r="H81" s="14" t="s">
        <v>502</v>
      </c>
      <c r="I81">
        <v>1</v>
      </c>
      <c r="J81" s="14" t="s">
        <v>413</v>
      </c>
      <c r="K81" s="12">
        <v>45627</v>
      </c>
      <c r="L81" s="15">
        <v>0.3659722222222222</v>
      </c>
      <c r="M81">
        <v>28</v>
      </c>
    </row>
    <row r="82" spans="1:13" x14ac:dyDescent="0.25">
      <c r="A82" t="s">
        <v>71</v>
      </c>
      <c r="B82" t="s">
        <v>121</v>
      </c>
      <c r="C82" t="s">
        <v>272</v>
      </c>
      <c r="E82" s="14" t="s">
        <v>501</v>
      </c>
      <c r="F82" s="12">
        <v>45645</v>
      </c>
      <c r="G82" s="15">
        <v>0.36875000000000002</v>
      </c>
      <c r="H82" s="14" t="s">
        <v>502</v>
      </c>
      <c r="I82">
        <v>1</v>
      </c>
      <c r="J82" s="14" t="s">
        <v>413</v>
      </c>
      <c r="K82" s="12">
        <v>45645</v>
      </c>
      <c r="L82" s="15">
        <v>0.39583333333333331</v>
      </c>
      <c r="M82">
        <v>39</v>
      </c>
    </row>
    <row r="83" spans="1:13" x14ac:dyDescent="0.25">
      <c r="A83" t="s">
        <v>72</v>
      </c>
      <c r="B83" t="s">
        <v>122</v>
      </c>
      <c r="C83" t="s">
        <v>273</v>
      </c>
      <c r="E83" s="14" t="s">
        <v>501</v>
      </c>
      <c r="F83" s="12">
        <v>45907</v>
      </c>
      <c r="G83" s="15">
        <v>0.60833333333333328</v>
      </c>
      <c r="H83" s="14" t="s">
        <v>502</v>
      </c>
      <c r="I83">
        <v>1</v>
      </c>
      <c r="J83" s="14" t="s">
        <v>413</v>
      </c>
      <c r="K83" s="12">
        <v>45907</v>
      </c>
      <c r="L83" s="15">
        <v>0.66111111111111109</v>
      </c>
      <c r="M83">
        <v>76</v>
      </c>
    </row>
    <row r="84" spans="1:13" x14ac:dyDescent="0.25">
      <c r="A84" t="s">
        <v>47</v>
      </c>
      <c r="B84" t="s">
        <v>97</v>
      </c>
      <c r="C84" t="s">
        <v>250</v>
      </c>
      <c r="E84" s="14" t="s">
        <v>470</v>
      </c>
      <c r="F84" s="12">
        <v>45725</v>
      </c>
      <c r="G84" s="15">
        <v>0.39652777777777776</v>
      </c>
      <c r="H84" s="14" t="s">
        <v>505</v>
      </c>
      <c r="K84" s="12">
        <v>45725</v>
      </c>
      <c r="L84" s="15">
        <v>0.43333333333333335</v>
      </c>
      <c r="M84">
        <v>53</v>
      </c>
    </row>
    <row r="85" spans="1:13" x14ac:dyDescent="0.25">
      <c r="A85" t="s">
        <v>78</v>
      </c>
      <c r="B85" t="s">
        <v>128</v>
      </c>
      <c r="C85" t="s">
        <v>278</v>
      </c>
      <c r="E85" s="14" t="s">
        <v>473</v>
      </c>
      <c r="F85" s="12">
        <v>45902</v>
      </c>
      <c r="G85" s="15">
        <v>0.37777777777777777</v>
      </c>
      <c r="H85" s="14" t="s">
        <v>503</v>
      </c>
      <c r="K85" s="12">
        <v>45902</v>
      </c>
      <c r="L85" s="15">
        <v>0.41249999999999998</v>
      </c>
      <c r="M85">
        <v>50</v>
      </c>
    </row>
    <row r="86" spans="1:13" x14ac:dyDescent="0.25">
      <c r="A86" t="s">
        <v>39</v>
      </c>
      <c r="B86" t="s">
        <v>89</v>
      </c>
      <c r="C86" t="s">
        <v>243</v>
      </c>
      <c r="E86" s="14" t="s">
        <v>501</v>
      </c>
      <c r="F86" s="12">
        <v>45664</v>
      </c>
      <c r="G86" s="15">
        <v>0.57638888888888884</v>
      </c>
      <c r="H86" s="14" t="s">
        <v>502</v>
      </c>
      <c r="I86">
        <v>1</v>
      </c>
      <c r="J86" t="s">
        <v>402</v>
      </c>
      <c r="K86" s="12">
        <v>45664</v>
      </c>
      <c r="L86" s="15">
        <v>0.63958333333333328</v>
      </c>
      <c r="M86">
        <v>91</v>
      </c>
    </row>
    <row r="87" spans="1:13" x14ac:dyDescent="0.25">
      <c r="A87" t="s">
        <v>73</v>
      </c>
      <c r="B87" t="s">
        <v>123</v>
      </c>
      <c r="C87" t="s">
        <v>237</v>
      </c>
      <c r="E87" s="14" t="s">
        <v>473</v>
      </c>
      <c r="F87" s="12">
        <v>45858</v>
      </c>
      <c r="G87" s="15">
        <v>0.36944444444444446</v>
      </c>
      <c r="H87" s="14" t="s">
        <v>503</v>
      </c>
      <c r="K87" s="12">
        <v>45858</v>
      </c>
      <c r="L87" s="15">
        <v>0.38055555555555554</v>
      </c>
      <c r="M87">
        <v>16</v>
      </c>
    </row>
    <row r="88" spans="1:13" x14ac:dyDescent="0.25">
      <c r="A88" t="s">
        <v>63</v>
      </c>
      <c r="B88" t="s">
        <v>113</v>
      </c>
      <c r="C88" t="s">
        <v>236</v>
      </c>
      <c r="E88" s="14" t="s">
        <v>473</v>
      </c>
      <c r="F88" s="12">
        <v>45846</v>
      </c>
      <c r="G88" s="15">
        <v>0.48958333333333331</v>
      </c>
      <c r="H88" s="14" t="s">
        <v>503</v>
      </c>
      <c r="K88" s="12">
        <v>45846</v>
      </c>
      <c r="L88" s="15">
        <v>0.52986111111111112</v>
      </c>
      <c r="M88">
        <v>58</v>
      </c>
    </row>
    <row r="89" spans="1:13" x14ac:dyDescent="0.25">
      <c r="A89" t="s">
        <v>36</v>
      </c>
      <c r="B89" t="s">
        <v>86</v>
      </c>
      <c r="C89" t="s">
        <v>240</v>
      </c>
      <c r="E89" s="14" t="s">
        <v>473</v>
      </c>
      <c r="F89" s="12">
        <v>45614</v>
      </c>
      <c r="G89" s="15">
        <v>0.50277777777777777</v>
      </c>
      <c r="H89" s="14" t="s">
        <v>503</v>
      </c>
      <c r="K89" s="12">
        <v>45614</v>
      </c>
      <c r="L89" s="15">
        <v>0.5229166666666667</v>
      </c>
      <c r="M89">
        <v>29</v>
      </c>
    </row>
    <row r="90" spans="1:13" x14ac:dyDescent="0.25">
      <c r="A90" t="s">
        <v>58</v>
      </c>
      <c r="B90" t="s">
        <v>108</v>
      </c>
      <c r="C90" t="s">
        <v>260</v>
      </c>
      <c r="E90" s="14" t="s">
        <v>473</v>
      </c>
      <c r="F90" s="12">
        <v>45859</v>
      </c>
      <c r="G90" s="15">
        <v>0.35902777777777778</v>
      </c>
      <c r="H90" s="14" t="s">
        <v>503</v>
      </c>
      <c r="K90" s="12">
        <v>45859</v>
      </c>
      <c r="L90" s="15">
        <v>0.4201388888888889</v>
      </c>
      <c r="M90">
        <v>88</v>
      </c>
    </row>
    <row r="91" spans="1:13" x14ac:dyDescent="0.25">
      <c r="A91" t="s">
        <v>40</v>
      </c>
      <c r="B91" t="s">
        <v>90</v>
      </c>
      <c r="C91" t="s">
        <v>244</v>
      </c>
      <c r="E91" s="14" t="s">
        <v>501</v>
      </c>
      <c r="F91" s="12">
        <v>45663</v>
      </c>
      <c r="G91" s="15">
        <v>0.5131944444444444</v>
      </c>
      <c r="H91" s="14" t="s">
        <v>502</v>
      </c>
      <c r="I91">
        <v>1</v>
      </c>
      <c r="J91" t="s">
        <v>403</v>
      </c>
      <c r="K91" s="12">
        <v>45663</v>
      </c>
      <c r="L91" s="15">
        <v>0.55069444444444449</v>
      </c>
      <c r="M91">
        <v>54</v>
      </c>
    </row>
    <row r="92" spans="1:13" x14ac:dyDescent="0.25">
      <c r="A92" t="s">
        <v>42</v>
      </c>
      <c r="B92" t="s">
        <v>92</v>
      </c>
      <c r="C92" t="s">
        <v>246</v>
      </c>
      <c r="E92" s="14" t="s">
        <v>501</v>
      </c>
      <c r="F92" s="12">
        <v>45361</v>
      </c>
      <c r="G92" s="15">
        <v>0.6</v>
      </c>
      <c r="H92" s="14" t="s">
        <v>502</v>
      </c>
      <c r="I92">
        <v>1</v>
      </c>
      <c r="J92" t="s">
        <v>404</v>
      </c>
      <c r="K92" s="12">
        <v>45361</v>
      </c>
      <c r="L92" s="15">
        <v>0.67847222222222225</v>
      </c>
      <c r="M92">
        <v>113</v>
      </c>
    </row>
    <row r="93" spans="1:13" x14ac:dyDescent="0.25">
      <c r="A93" t="s">
        <v>71</v>
      </c>
      <c r="B93" t="s">
        <v>121</v>
      </c>
      <c r="C93" t="s">
        <v>272</v>
      </c>
      <c r="E93" s="14" t="s">
        <v>473</v>
      </c>
      <c r="F93" s="12">
        <v>45966</v>
      </c>
      <c r="G93" s="15">
        <v>0.61388888888888893</v>
      </c>
      <c r="H93" s="14" t="s">
        <v>503</v>
      </c>
      <c r="K93" s="12">
        <v>45966</v>
      </c>
      <c r="L93" s="15">
        <v>0.6791666666666667</v>
      </c>
      <c r="M93">
        <v>94</v>
      </c>
    </row>
    <row r="94" spans="1:13" x14ac:dyDescent="0.25">
      <c r="A94" t="s">
        <v>82</v>
      </c>
      <c r="B94" t="s">
        <v>132</v>
      </c>
      <c r="C94" t="s">
        <v>281</v>
      </c>
      <c r="E94" s="14" t="s">
        <v>470</v>
      </c>
      <c r="F94" s="12">
        <v>45891</v>
      </c>
      <c r="G94" s="15">
        <v>0.46805555555555556</v>
      </c>
      <c r="H94" t="s">
        <v>505</v>
      </c>
      <c r="K94" s="12">
        <v>45891</v>
      </c>
      <c r="L94" s="15">
        <v>0.5180555555555556</v>
      </c>
      <c r="M94">
        <v>72</v>
      </c>
    </row>
    <row r="95" spans="1:13" x14ac:dyDescent="0.25">
      <c r="A95" t="s">
        <v>52</v>
      </c>
      <c r="B95" t="s">
        <v>102</v>
      </c>
      <c r="C95" t="s">
        <v>255</v>
      </c>
      <c r="E95" s="14" t="s">
        <v>473</v>
      </c>
      <c r="F95" s="12">
        <v>45958</v>
      </c>
      <c r="G95" s="15">
        <v>0.48541666666666666</v>
      </c>
      <c r="H95" s="14" t="s">
        <v>503</v>
      </c>
      <c r="K95" s="12">
        <v>45958</v>
      </c>
      <c r="L95" s="15">
        <v>0.5229166666666667</v>
      </c>
      <c r="M95">
        <v>54</v>
      </c>
    </row>
    <row r="96" spans="1:13" x14ac:dyDescent="0.25">
      <c r="A96" t="s">
        <v>72</v>
      </c>
      <c r="B96" t="s">
        <v>122</v>
      </c>
      <c r="C96" t="s">
        <v>273</v>
      </c>
      <c r="E96" s="14" t="s">
        <v>501</v>
      </c>
      <c r="F96" s="12">
        <v>45457</v>
      </c>
      <c r="G96" s="15">
        <v>0.60416666666666663</v>
      </c>
      <c r="H96" s="14" t="s">
        <v>502</v>
      </c>
      <c r="I96">
        <v>1</v>
      </c>
      <c r="J96" s="14" t="s">
        <v>413</v>
      </c>
      <c r="K96" s="12">
        <v>45457</v>
      </c>
      <c r="L96" s="15">
        <v>0.63263888888888886</v>
      </c>
      <c r="M96">
        <v>41</v>
      </c>
    </row>
    <row r="97" spans="1:13" x14ac:dyDescent="0.25">
      <c r="A97" t="s">
        <v>42</v>
      </c>
      <c r="B97" t="s">
        <v>92</v>
      </c>
      <c r="C97" t="s">
        <v>246</v>
      </c>
      <c r="E97" s="14" t="s">
        <v>501</v>
      </c>
      <c r="F97" s="12">
        <v>45508</v>
      </c>
      <c r="G97" s="15">
        <v>0.62152777777777779</v>
      </c>
      <c r="H97" s="14" t="s">
        <v>502</v>
      </c>
      <c r="I97">
        <v>1</v>
      </c>
      <c r="J97" t="s">
        <v>401</v>
      </c>
      <c r="K97" s="12">
        <v>45508</v>
      </c>
      <c r="L97" s="15">
        <v>0.68194444444444446</v>
      </c>
      <c r="M97">
        <v>87</v>
      </c>
    </row>
    <row r="98" spans="1:13" x14ac:dyDescent="0.25">
      <c r="A98" t="s">
        <v>48</v>
      </c>
      <c r="B98" t="s">
        <v>98</v>
      </c>
      <c r="C98" t="s">
        <v>251</v>
      </c>
      <c r="E98" s="14" t="s">
        <v>473</v>
      </c>
      <c r="F98" s="12">
        <v>45533</v>
      </c>
      <c r="G98" s="15">
        <v>0.52916666666666667</v>
      </c>
      <c r="H98" s="14" t="s">
        <v>503</v>
      </c>
      <c r="K98" s="12">
        <v>45533</v>
      </c>
      <c r="L98" s="15">
        <v>0.54583333333333328</v>
      </c>
      <c r="M98">
        <v>24</v>
      </c>
    </row>
    <row r="99" spans="1:13" x14ac:dyDescent="0.25">
      <c r="A99" t="s">
        <v>33</v>
      </c>
      <c r="B99" t="s">
        <v>83</v>
      </c>
      <c r="C99" t="s">
        <v>233</v>
      </c>
      <c r="E99" s="14" t="s">
        <v>473</v>
      </c>
      <c r="F99" s="12">
        <v>45774</v>
      </c>
      <c r="G99" s="15">
        <v>0.49305555555555558</v>
      </c>
      <c r="H99" s="14" t="s">
        <v>503</v>
      </c>
      <c r="K99" s="12">
        <v>45774</v>
      </c>
      <c r="L99" s="15">
        <v>0.56458333333333333</v>
      </c>
      <c r="M99">
        <v>103</v>
      </c>
    </row>
    <row r="100" spans="1:13" x14ac:dyDescent="0.25">
      <c r="A100" t="s">
        <v>51</v>
      </c>
      <c r="B100" t="s">
        <v>101</v>
      </c>
      <c r="C100" t="s">
        <v>254</v>
      </c>
      <c r="E100" s="14" t="s">
        <v>473</v>
      </c>
      <c r="F100" s="12">
        <v>45389</v>
      </c>
      <c r="G100" s="15">
        <v>0.4152777777777778</v>
      </c>
      <c r="H100" s="14" t="s">
        <v>503</v>
      </c>
      <c r="K100" s="12">
        <v>45389</v>
      </c>
      <c r="L100" s="15">
        <v>0.45069444444444445</v>
      </c>
      <c r="M100">
        <v>51</v>
      </c>
    </row>
    <row r="101" spans="1:13" x14ac:dyDescent="0.25">
      <c r="A101" t="s">
        <v>77</v>
      </c>
      <c r="B101" t="s">
        <v>127</v>
      </c>
      <c r="C101" t="s">
        <v>277</v>
      </c>
      <c r="E101" s="14" t="s">
        <v>473</v>
      </c>
      <c r="F101" s="12">
        <v>45820</v>
      </c>
      <c r="G101" s="15">
        <v>0.35833333333333334</v>
      </c>
      <c r="H101" s="14" t="s">
        <v>503</v>
      </c>
      <c r="K101" s="12">
        <v>45820</v>
      </c>
      <c r="L101" s="15">
        <v>0.42916666666666664</v>
      </c>
      <c r="M101">
        <v>102</v>
      </c>
    </row>
    <row r="102" spans="1:13" x14ac:dyDescent="0.25">
      <c r="E102" s="14"/>
    </row>
  </sheetData>
  <autoFilter ref="A1:O101" xr:uid="{A589E63E-C3BE-4247-9DCF-67910EE8D726}">
    <sortState xmlns:xlrd2="http://schemas.microsoft.com/office/spreadsheetml/2017/richdata2" ref="A8:O97">
      <sortCondition ref="C1:C101"/>
    </sortState>
  </autoFilter>
  <dataValidations count="3">
    <dataValidation type="textLength" operator="lessThanOrEqual" allowBlank="1" showInputMessage="1" showErrorMessage="1" errorTitle="Description" error="Keep the remedial action preformed description brief. Use the Service Log colomn for detailed notes." sqref="H1" xr:uid="{C07EA772-7936-4AA5-A9F7-D13D354789A0}">
      <formula1>35</formula1>
    </dataValidation>
    <dataValidation type="textLength" operator="lessThanOrEqual" allowBlank="1" showInputMessage="1" showErrorMessage="1" errorTitle="Part Number" error="Only one part number in each field. If more than one part was used on for a machine create an addtional entry._x000a_" sqref="J1" xr:uid="{60AB559E-9C6D-451C-9EDA-B2BE869FFEDE}">
      <formula1>10</formula1>
    </dataValidation>
    <dataValidation type="time" allowBlank="1" showInputMessage="1" showErrorMessage="1" errorTitle="Use a Colon" error="Enter the time in military format with a colon. " sqref="L1 G1" xr:uid="{CF019B1A-EF57-40CA-A3CB-E74F318D90E0}">
      <formula1>0.000694444444444444</formula1>
      <formula2>0.999305555555556</formula2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379B-E8B1-4E88-88F9-BC6C93BBCAB1}">
  <dimension ref="A1:E17"/>
  <sheetViews>
    <sheetView workbookViewId="0">
      <selection activeCell="H18" sqref="H18"/>
    </sheetView>
  </sheetViews>
  <sheetFormatPr defaultRowHeight="15" x14ac:dyDescent="0.25"/>
  <cols>
    <col min="1" max="1" width="27.7109375" customWidth="1"/>
    <col min="2" max="2" width="22.7109375" customWidth="1"/>
    <col min="3" max="3" width="24" customWidth="1"/>
    <col min="4" max="4" width="30.28515625" customWidth="1"/>
    <col min="5" max="5" width="27.42578125" customWidth="1"/>
  </cols>
  <sheetData>
    <row r="1" spans="1:5" ht="15.75" customHeight="1" x14ac:dyDescent="0.25">
      <c r="A1" s="16" t="s">
        <v>422</v>
      </c>
      <c r="B1" s="16"/>
      <c r="C1" s="16"/>
      <c r="D1" s="16"/>
      <c r="E1" s="16"/>
    </row>
    <row r="2" spans="1:5" x14ac:dyDescent="0.25">
      <c r="A2" s="17" t="s">
        <v>423</v>
      </c>
      <c r="B2" s="17" t="s">
        <v>424</v>
      </c>
      <c r="C2" s="17" t="s">
        <v>425</v>
      </c>
      <c r="D2" s="17" t="s">
        <v>426</v>
      </c>
      <c r="E2" s="17" t="s">
        <v>427</v>
      </c>
    </row>
    <row r="3" spans="1:5" x14ac:dyDescent="0.25">
      <c r="A3" s="17" t="s">
        <v>428</v>
      </c>
      <c r="B3" s="17" t="s">
        <v>429</v>
      </c>
      <c r="C3" s="17" t="s">
        <v>430</v>
      </c>
      <c r="D3" s="17" t="s">
        <v>431</v>
      </c>
      <c r="E3" s="17" t="s">
        <v>432</v>
      </c>
    </row>
    <row r="4" spans="1:5" x14ac:dyDescent="0.25">
      <c r="A4" s="17" t="s">
        <v>433</v>
      </c>
      <c r="B4" s="17" t="s">
        <v>434</v>
      </c>
      <c r="C4" s="17" t="s">
        <v>435</v>
      </c>
      <c r="D4" s="17" t="s">
        <v>436</v>
      </c>
      <c r="E4" s="17" t="s">
        <v>437</v>
      </c>
    </row>
    <row r="5" spans="1:5" x14ac:dyDescent="0.25">
      <c r="A5" s="17" t="s">
        <v>438</v>
      </c>
      <c r="B5" s="17" t="s">
        <v>439</v>
      </c>
      <c r="C5" s="17" t="s">
        <v>440</v>
      </c>
      <c r="D5" s="17" t="s">
        <v>441</v>
      </c>
      <c r="E5" s="17" t="s">
        <v>442</v>
      </c>
    </row>
    <row r="6" spans="1:5" x14ac:dyDescent="0.25">
      <c r="A6" s="17" t="s">
        <v>443</v>
      </c>
      <c r="B6" s="17" t="s">
        <v>444</v>
      </c>
      <c r="C6" s="17" t="s">
        <v>445</v>
      </c>
      <c r="D6" s="17" t="s">
        <v>446</v>
      </c>
      <c r="E6" s="17" t="s">
        <v>447</v>
      </c>
    </row>
    <row r="7" spans="1:5" x14ac:dyDescent="0.25">
      <c r="A7" s="17" t="s">
        <v>448</v>
      </c>
      <c r="B7" s="17" t="s">
        <v>449</v>
      </c>
      <c r="C7" s="17" t="s">
        <v>450</v>
      </c>
      <c r="D7" s="17" t="s">
        <v>451</v>
      </c>
      <c r="E7" s="17" t="s">
        <v>452</v>
      </c>
    </row>
    <row r="8" spans="1:5" x14ac:dyDescent="0.25">
      <c r="A8" s="17" t="s">
        <v>453</v>
      </c>
      <c r="B8" s="17" t="s">
        <v>454</v>
      </c>
      <c r="C8" s="17" t="s">
        <v>455</v>
      </c>
      <c r="D8" s="17" t="s">
        <v>456</v>
      </c>
      <c r="E8" s="17" t="s">
        <v>457</v>
      </c>
    </row>
    <row r="9" spans="1:5" x14ac:dyDescent="0.25">
      <c r="A9" s="17" t="s">
        <v>458</v>
      </c>
      <c r="B9" s="17" t="s">
        <v>459</v>
      </c>
      <c r="C9" s="17" t="s">
        <v>460</v>
      </c>
      <c r="D9" s="17" t="s">
        <v>461</v>
      </c>
      <c r="E9" s="17" t="s">
        <v>462</v>
      </c>
    </row>
    <row r="10" spans="1:5" x14ac:dyDescent="0.25">
      <c r="A10" s="17" t="s">
        <v>463</v>
      </c>
      <c r="B10" s="17" t="s">
        <v>464</v>
      </c>
      <c r="C10" s="17" t="s">
        <v>465</v>
      </c>
      <c r="D10" s="17" t="s">
        <v>466</v>
      </c>
      <c r="E10" s="17" t="s">
        <v>467</v>
      </c>
    </row>
    <row r="11" spans="1:5" x14ac:dyDescent="0.25">
      <c r="A11" s="17" t="s">
        <v>468</v>
      </c>
      <c r="B11" s="17" t="s">
        <v>469</v>
      </c>
      <c r="C11" s="17" t="s">
        <v>470</v>
      </c>
      <c r="D11" s="17" t="s">
        <v>471</v>
      </c>
      <c r="E11" s="17" t="s">
        <v>472</v>
      </c>
    </row>
    <row r="12" spans="1:5" x14ac:dyDescent="0.25">
      <c r="A12" s="17" t="s">
        <v>473</v>
      </c>
      <c r="B12" s="17" t="s">
        <v>474</v>
      </c>
      <c r="C12" s="17" t="s">
        <v>475</v>
      </c>
      <c r="D12" s="17" t="s">
        <v>476</v>
      </c>
      <c r="E12" s="17" t="s">
        <v>477</v>
      </c>
    </row>
    <row r="13" spans="1:5" x14ac:dyDescent="0.25">
      <c r="A13" s="17" t="s">
        <v>478</v>
      </c>
      <c r="B13" s="17" t="s">
        <v>479</v>
      </c>
      <c r="C13" s="17" t="s">
        <v>480</v>
      </c>
      <c r="D13" s="17" t="s">
        <v>481</v>
      </c>
      <c r="E13" s="17" t="s">
        <v>482</v>
      </c>
    </row>
    <row r="14" spans="1:5" x14ac:dyDescent="0.25">
      <c r="A14" s="17" t="s">
        <v>483</v>
      </c>
      <c r="B14" s="17" t="s">
        <v>484</v>
      </c>
      <c r="C14" s="17" t="s">
        <v>485</v>
      </c>
      <c r="D14" s="17" t="s">
        <v>486</v>
      </c>
      <c r="E14" s="17" t="s">
        <v>487</v>
      </c>
    </row>
    <row r="15" spans="1:5" x14ac:dyDescent="0.25">
      <c r="A15" s="17" t="s">
        <v>488</v>
      </c>
      <c r="B15" s="17" t="s">
        <v>489</v>
      </c>
      <c r="C15" s="17" t="s">
        <v>490</v>
      </c>
      <c r="D15" s="17" t="s">
        <v>491</v>
      </c>
      <c r="E15" s="18" t="s">
        <v>492</v>
      </c>
    </row>
    <row r="16" spans="1:5" x14ac:dyDescent="0.25">
      <c r="A16" s="17" t="s">
        <v>493</v>
      </c>
      <c r="B16" s="17" t="s">
        <v>494</v>
      </c>
      <c r="C16" s="17" t="s">
        <v>495</v>
      </c>
      <c r="D16" s="17" t="s">
        <v>496</v>
      </c>
    </row>
    <row r="17" spans="1:4" x14ac:dyDescent="0.25">
      <c r="A17" s="17" t="s">
        <v>497</v>
      </c>
      <c r="B17" s="17" t="s">
        <v>498</v>
      </c>
      <c r="C17" s="17" t="s">
        <v>499</v>
      </c>
      <c r="D17" s="17" t="s">
        <v>500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CFD2-6715-43BC-B88A-2AEEA1085CDD}">
  <dimension ref="A1:I21"/>
  <sheetViews>
    <sheetView workbookViewId="0">
      <selection activeCell="J21" sqref="J21"/>
    </sheetView>
  </sheetViews>
  <sheetFormatPr defaultRowHeight="15" x14ac:dyDescent="0.25"/>
  <cols>
    <col min="1" max="1" width="11.140625" customWidth="1"/>
    <col min="2" max="2" width="9.140625" style="13"/>
    <col min="3" max="3" width="16.7109375" customWidth="1"/>
    <col min="5" max="5" width="15.5703125" customWidth="1"/>
    <col min="6" max="6" width="12.42578125" style="13" customWidth="1"/>
    <col min="7" max="7" width="10.42578125" style="13" customWidth="1"/>
    <col min="9" max="9" width="10.42578125" bestFit="1" customWidth="1"/>
  </cols>
  <sheetData>
    <row r="1" spans="1:9" s="28" customFormat="1" ht="51" x14ac:dyDescent="0.25">
      <c r="A1" s="23" t="s">
        <v>25</v>
      </c>
      <c r="B1" s="24" t="s">
        <v>6</v>
      </c>
      <c r="C1" s="25" t="s">
        <v>26</v>
      </c>
      <c r="D1" s="25" t="s">
        <v>27</v>
      </c>
      <c r="E1" s="25" t="s">
        <v>28</v>
      </c>
      <c r="F1" s="26" t="s">
        <v>29</v>
      </c>
      <c r="G1" s="25" t="s">
        <v>30</v>
      </c>
      <c r="H1" s="25" t="s">
        <v>31</v>
      </c>
      <c r="I1" s="27" t="s">
        <v>32</v>
      </c>
    </row>
    <row r="2" spans="1:9" x14ac:dyDescent="0.25">
      <c r="A2" s="17" t="s">
        <v>402</v>
      </c>
      <c r="B2" s="29">
        <v>23</v>
      </c>
      <c r="C2" s="17" t="s">
        <v>417</v>
      </c>
      <c r="D2" s="17" t="s">
        <v>282</v>
      </c>
      <c r="E2" s="33" t="s">
        <v>418</v>
      </c>
      <c r="F2" s="30">
        <v>45974</v>
      </c>
      <c r="G2" s="29">
        <f ca="1">DAYS360(F2,I2)</f>
        <v>5</v>
      </c>
      <c r="H2" s="17"/>
      <c r="I2" s="31">
        <f ca="1">TODAY()</f>
        <v>45979</v>
      </c>
    </row>
    <row r="3" spans="1:9" x14ac:dyDescent="0.25">
      <c r="A3" s="17" t="s">
        <v>403</v>
      </c>
      <c r="B3" s="29">
        <v>13</v>
      </c>
      <c r="C3" s="17" t="s">
        <v>417</v>
      </c>
      <c r="D3" s="17" t="s">
        <v>282</v>
      </c>
      <c r="E3" s="34" t="s">
        <v>419</v>
      </c>
      <c r="F3" s="30">
        <v>45974</v>
      </c>
      <c r="G3" s="29">
        <f ca="1">DAYS360(F3,I3)</f>
        <v>5</v>
      </c>
      <c r="H3" s="17"/>
      <c r="I3" s="31">
        <f ca="1">TODAY()</f>
        <v>45979</v>
      </c>
    </row>
    <row r="4" spans="1:9" x14ac:dyDescent="0.25">
      <c r="A4" s="17" t="s">
        <v>404</v>
      </c>
      <c r="B4" s="29">
        <v>34</v>
      </c>
      <c r="C4" s="17" t="s">
        <v>417</v>
      </c>
      <c r="D4" s="17" t="s">
        <v>282</v>
      </c>
      <c r="E4" s="35" t="s">
        <v>420</v>
      </c>
      <c r="F4" s="30">
        <v>45974</v>
      </c>
      <c r="G4" s="29">
        <f ca="1">DAYS360(F4,I4)</f>
        <v>5</v>
      </c>
      <c r="H4" s="17"/>
      <c r="I4" s="31">
        <f ca="1">TODAY()</f>
        <v>45979</v>
      </c>
    </row>
    <row r="5" spans="1:9" x14ac:dyDescent="0.25">
      <c r="A5" s="17" t="s">
        <v>401</v>
      </c>
      <c r="B5" s="29">
        <v>20</v>
      </c>
      <c r="C5" s="17" t="s">
        <v>417</v>
      </c>
      <c r="D5" s="17" t="s">
        <v>282</v>
      </c>
      <c r="E5" s="32" t="s">
        <v>421</v>
      </c>
      <c r="F5" s="30">
        <v>45974</v>
      </c>
      <c r="G5" s="29">
        <f ca="1">DAYS360(F5,I5)</f>
        <v>5</v>
      </c>
      <c r="H5" s="17"/>
      <c r="I5" s="31">
        <f ca="1">TODAY()</f>
        <v>45979</v>
      </c>
    </row>
    <row r="6" spans="1:9" x14ac:dyDescent="0.25">
      <c r="A6" s="17" t="s">
        <v>405</v>
      </c>
      <c r="B6" s="29">
        <v>14</v>
      </c>
      <c r="C6" s="17" t="s">
        <v>415</v>
      </c>
      <c r="D6" s="17" t="s">
        <v>285</v>
      </c>
      <c r="E6" s="33" t="s">
        <v>418</v>
      </c>
      <c r="F6" s="30">
        <v>45974</v>
      </c>
      <c r="G6" s="29">
        <f ca="1">DAYS360(F6,I6)</f>
        <v>5</v>
      </c>
      <c r="H6" s="17"/>
      <c r="I6" s="31">
        <f ca="1">TODAY()</f>
        <v>45979</v>
      </c>
    </row>
    <row r="7" spans="1:9" x14ac:dyDescent="0.25">
      <c r="A7" s="17" t="s">
        <v>406</v>
      </c>
      <c r="B7" s="29">
        <v>11</v>
      </c>
      <c r="C7" s="17" t="s">
        <v>415</v>
      </c>
      <c r="D7" s="17" t="s">
        <v>285</v>
      </c>
      <c r="E7" s="34" t="s">
        <v>419</v>
      </c>
      <c r="F7" s="30">
        <v>45974</v>
      </c>
      <c r="G7" s="29">
        <f ca="1">DAYS360(F7,I7)</f>
        <v>5</v>
      </c>
      <c r="H7" s="17"/>
      <c r="I7" s="31">
        <f ca="1">TODAY()</f>
        <v>45979</v>
      </c>
    </row>
    <row r="8" spans="1:9" x14ac:dyDescent="0.25">
      <c r="A8" s="17" t="s">
        <v>407</v>
      </c>
      <c r="B8" s="29">
        <v>18</v>
      </c>
      <c r="C8" s="17" t="s">
        <v>415</v>
      </c>
      <c r="D8" s="17" t="s">
        <v>285</v>
      </c>
      <c r="E8" s="35" t="s">
        <v>420</v>
      </c>
      <c r="F8" s="30">
        <v>45974</v>
      </c>
      <c r="G8" s="29">
        <f ca="1">DAYS360(F8,I8)</f>
        <v>5</v>
      </c>
      <c r="H8" s="17"/>
      <c r="I8" s="31">
        <f ca="1">TODAY()</f>
        <v>45979</v>
      </c>
    </row>
    <row r="9" spans="1:9" x14ac:dyDescent="0.25">
      <c r="A9" s="17" t="s">
        <v>408</v>
      </c>
      <c r="B9" s="29">
        <v>6</v>
      </c>
      <c r="C9" s="17" t="s">
        <v>415</v>
      </c>
      <c r="D9" s="17" t="s">
        <v>285</v>
      </c>
      <c r="E9" s="32" t="s">
        <v>421</v>
      </c>
      <c r="F9" s="30">
        <v>45974</v>
      </c>
      <c r="G9" s="29">
        <f ca="1">DAYS360(F9,I9)</f>
        <v>5</v>
      </c>
      <c r="H9" s="17"/>
      <c r="I9" s="31">
        <f ca="1">TODAY()</f>
        <v>45979</v>
      </c>
    </row>
    <row r="10" spans="1:9" x14ac:dyDescent="0.25">
      <c r="A10" s="17" t="s">
        <v>409</v>
      </c>
      <c r="B10" s="29">
        <v>29</v>
      </c>
      <c r="C10" s="17" t="s">
        <v>415</v>
      </c>
      <c r="D10" s="17" t="s">
        <v>284</v>
      </c>
      <c r="E10" s="33" t="s">
        <v>418</v>
      </c>
      <c r="F10" s="30">
        <v>45974</v>
      </c>
      <c r="G10" s="29">
        <f ca="1">DAYS360(F10,I10)</f>
        <v>5</v>
      </c>
      <c r="H10" s="17"/>
      <c r="I10" s="31">
        <f ca="1">TODAY()</f>
        <v>45979</v>
      </c>
    </row>
    <row r="11" spans="1:9" x14ac:dyDescent="0.25">
      <c r="A11" s="17" t="s">
        <v>410</v>
      </c>
      <c r="B11" s="29">
        <v>34</v>
      </c>
      <c r="C11" s="17" t="s">
        <v>415</v>
      </c>
      <c r="D11" s="17" t="s">
        <v>284</v>
      </c>
      <c r="E11" s="34" t="s">
        <v>419</v>
      </c>
      <c r="F11" s="30">
        <v>45974</v>
      </c>
      <c r="G11" s="29">
        <f ca="1">DAYS360(F11,I11)</f>
        <v>5</v>
      </c>
      <c r="H11" s="17"/>
      <c r="I11" s="31">
        <f ca="1">TODAY()</f>
        <v>45979</v>
      </c>
    </row>
    <row r="12" spans="1:9" x14ac:dyDescent="0.25">
      <c r="A12" s="17" t="s">
        <v>411</v>
      </c>
      <c r="B12" s="29">
        <v>12</v>
      </c>
      <c r="C12" s="17" t="s">
        <v>415</v>
      </c>
      <c r="D12" s="17" t="s">
        <v>284</v>
      </c>
      <c r="E12" s="35" t="s">
        <v>420</v>
      </c>
      <c r="F12" s="30">
        <v>45974</v>
      </c>
      <c r="G12" s="29">
        <f ca="1">DAYS360(F12,I12)</f>
        <v>5</v>
      </c>
      <c r="H12" s="17"/>
      <c r="I12" s="31">
        <f ca="1">TODAY()</f>
        <v>45979</v>
      </c>
    </row>
    <row r="13" spans="1:9" x14ac:dyDescent="0.25">
      <c r="A13" s="17" t="s">
        <v>412</v>
      </c>
      <c r="B13" s="29">
        <v>17</v>
      </c>
      <c r="C13" s="17" t="s">
        <v>415</v>
      </c>
      <c r="D13" s="17" t="s">
        <v>284</v>
      </c>
      <c r="E13" s="32" t="s">
        <v>421</v>
      </c>
      <c r="F13" s="30">
        <v>45974</v>
      </c>
      <c r="G13" s="29">
        <f ca="1">DAYS360(F13,I13)</f>
        <v>5</v>
      </c>
      <c r="H13" s="17"/>
      <c r="I13" s="31">
        <f ca="1">TODAY()</f>
        <v>45979</v>
      </c>
    </row>
    <row r="14" spans="1:9" x14ac:dyDescent="0.25">
      <c r="A14" s="17" t="s">
        <v>413</v>
      </c>
      <c r="B14" s="29">
        <v>49</v>
      </c>
      <c r="C14" s="17" t="s">
        <v>416</v>
      </c>
      <c r="D14" s="17" t="s">
        <v>286</v>
      </c>
      <c r="E14" s="32" t="s">
        <v>421</v>
      </c>
      <c r="F14" s="30">
        <v>45974</v>
      </c>
      <c r="G14" s="29">
        <f ca="1">DAYS360(F14,I14)</f>
        <v>5</v>
      </c>
      <c r="H14" s="17"/>
      <c r="I14" s="31">
        <f ca="1">TODAY()</f>
        <v>45979</v>
      </c>
    </row>
    <row r="15" spans="1:9" x14ac:dyDescent="0.25">
      <c r="A15" s="17" t="s">
        <v>414</v>
      </c>
      <c r="B15" s="29">
        <v>61</v>
      </c>
      <c r="C15" s="17" t="s">
        <v>416</v>
      </c>
      <c r="D15" s="17" t="s">
        <v>283</v>
      </c>
      <c r="E15" s="32" t="s">
        <v>421</v>
      </c>
      <c r="F15" s="30">
        <v>45974</v>
      </c>
      <c r="G15" s="29">
        <f ca="1">DAYS360(F15,I15)</f>
        <v>5</v>
      </c>
      <c r="H15" s="17"/>
      <c r="I15" s="31">
        <f ca="1">TODAY()</f>
        <v>45979</v>
      </c>
    </row>
    <row r="16" spans="1:9" x14ac:dyDescent="0.25">
      <c r="D16" s="14"/>
    </row>
    <row r="17" spans="4:4" x14ac:dyDescent="0.25">
      <c r="D17" s="14"/>
    </row>
    <row r="18" spans="4:4" x14ac:dyDescent="0.25">
      <c r="D18" s="14"/>
    </row>
    <row r="19" spans="4:4" x14ac:dyDescent="0.25">
      <c r="D19" s="14"/>
    </row>
    <row r="20" spans="4:4" x14ac:dyDescent="0.25">
      <c r="D20" s="14"/>
    </row>
    <row r="21" spans="4:4" x14ac:dyDescent="0.25">
      <c r="D2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Equipment Info</vt:lpstr>
      <vt:lpstr>Service Activity</vt:lpstr>
      <vt:lpstr>Codes</vt:lpstr>
      <vt:lpstr>Parts &amp; Supplies Inv.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Gildner</dc:creator>
  <cp:lastModifiedBy>Brett Gildner</cp:lastModifiedBy>
  <cp:lastPrinted>2025-11-18T22:23:02Z</cp:lastPrinted>
  <dcterms:created xsi:type="dcterms:W3CDTF">2025-11-18T20:25:05Z</dcterms:created>
  <dcterms:modified xsi:type="dcterms:W3CDTF">2025-11-18T22:23:03Z</dcterms:modified>
</cp:coreProperties>
</file>